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78769817-0ECD-4355-A485-1BF367569A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farm_perc" sheetId="11" r:id="rId1"/>
    <sheet name="ratio" sheetId="9" r:id="rId2"/>
    <sheet name="day0" sheetId="2" r:id="rId3"/>
    <sheet name="perc_unit" sheetId="12" r:id="rId4"/>
    <sheet name="initial" sheetId="13" r:id="rId5"/>
    <sheet name="Sheet1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13" l="1"/>
  <c r="V16" i="13"/>
  <c r="V17" i="13"/>
  <c r="V18" i="13"/>
  <c r="AF6" i="13"/>
  <c r="AG6" i="13"/>
  <c r="AF8" i="13"/>
  <c r="AG8" i="13"/>
  <c r="AF10" i="13"/>
  <c r="AG10" i="13"/>
  <c r="AF12" i="13"/>
  <c r="AG12" i="13"/>
  <c r="AF14" i="13"/>
  <c r="AG14" i="13"/>
  <c r="AF16" i="13"/>
  <c r="AG16" i="13"/>
  <c r="AF18" i="13"/>
  <c r="AG18" i="13"/>
  <c r="AF20" i="13"/>
  <c r="AG20" i="13"/>
  <c r="AF22" i="13"/>
  <c r="AG22" i="13"/>
  <c r="AF24" i="13"/>
  <c r="AG24" i="13"/>
  <c r="AE16" i="13"/>
  <c r="AC18" i="13"/>
  <c r="AD18" i="13"/>
  <c r="AE18" i="13"/>
  <c r="AC24" i="13"/>
  <c r="AE24" i="13"/>
  <c r="D17" i="13"/>
  <c r="D15" i="13"/>
  <c r="R15" i="13" s="1"/>
  <c r="R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AB22" i="13" s="1"/>
  <c r="Q23" i="13"/>
  <c r="Q24" i="13"/>
  <c r="Q25" i="13"/>
  <c r="Q26" i="13"/>
  <c r="Q27" i="13"/>
  <c r="Q28" i="13"/>
  <c r="Q29" i="13"/>
  <c r="R3" i="13"/>
  <c r="S3" i="13"/>
  <c r="T3" i="13"/>
  <c r="U3" i="13"/>
  <c r="V3" i="13"/>
  <c r="X3" i="13"/>
  <c r="Y3" i="13"/>
  <c r="Z3" i="13"/>
  <c r="AA3" i="13"/>
  <c r="R4" i="13"/>
  <c r="AI4" i="13" s="1"/>
  <c r="S4" i="13"/>
  <c r="T4" i="13"/>
  <c r="U4" i="13"/>
  <c r="V4" i="13"/>
  <c r="W4" i="13"/>
  <c r="X4" i="13"/>
  <c r="Y4" i="13"/>
  <c r="Z4" i="13"/>
  <c r="AA4" i="13"/>
  <c r="R5" i="13"/>
  <c r="S5" i="13"/>
  <c r="T5" i="13"/>
  <c r="U5" i="13"/>
  <c r="V5" i="13"/>
  <c r="W5" i="13"/>
  <c r="X5" i="13"/>
  <c r="Y5" i="13"/>
  <c r="Z5" i="13"/>
  <c r="AA5" i="13"/>
  <c r="R6" i="13"/>
  <c r="S6" i="13"/>
  <c r="T6" i="13"/>
  <c r="AE6" i="13" s="1"/>
  <c r="U6" i="13"/>
  <c r="AL6" i="13" s="1"/>
  <c r="V6" i="13"/>
  <c r="AM6" i="13" s="1"/>
  <c r="W6" i="13"/>
  <c r="X6" i="13"/>
  <c r="Y6" i="13"/>
  <c r="Z6" i="13"/>
  <c r="AA6" i="13"/>
  <c r="R7" i="13"/>
  <c r="AC6" i="13" s="1"/>
  <c r="S7" i="13"/>
  <c r="T7" i="13"/>
  <c r="U7" i="13"/>
  <c r="V7" i="13"/>
  <c r="W7" i="13"/>
  <c r="X7" i="13"/>
  <c r="Y7" i="13"/>
  <c r="Z7" i="13"/>
  <c r="AA7" i="13"/>
  <c r="R8" i="13"/>
  <c r="AC8" i="13" s="1"/>
  <c r="S8" i="13"/>
  <c r="AD8" i="13" s="1"/>
  <c r="T8" i="13"/>
  <c r="AK8" i="13" s="1"/>
  <c r="U8" i="13"/>
  <c r="V8" i="13"/>
  <c r="W8" i="13"/>
  <c r="X8" i="13"/>
  <c r="Y8" i="13"/>
  <c r="AP8" i="13" s="1"/>
  <c r="Z8" i="13"/>
  <c r="AQ8" i="13" s="1"/>
  <c r="AA8" i="13"/>
  <c r="R9" i="13"/>
  <c r="S9" i="13"/>
  <c r="T9" i="13"/>
  <c r="U9" i="13"/>
  <c r="V9" i="13"/>
  <c r="W9" i="13"/>
  <c r="X9" i="13"/>
  <c r="Y9" i="13"/>
  <c r="Z9" i="13"/>
  <c r="AA9" i="13"/>
  <c r="R10" i="13"/>
  <c r="AI10" i="13" s="1"/>
  <c r="S10" i="13"/>
  <c r="AJ10" i="13" s="1"/>
  <c r="T10" i="13"/>
  <c r="AE10" i="13" s="1"/>
  <c r="U10" i="13"/>
  <c r="V10" i="13"/>
  <c r="X10" i="13"/>
  <c r="Y10" i="13"/>
  <c r="Z10" i="13"/>
  <c r="AA10" i="13"/>
  <c r="R11" i="13"/>
  <c r="S11" i="13"/>
  <c r="T11" i="13"/>
  <c r="U11" i="13"/>
  <c r="V11" i="13"/>
  <c r="X11" i="13"/>
  <c r="Y11" i="13"/>
  <c r="Z11" i="13"/>
  <c r="AA11" i="13"/>
  <c r="R12" i="13"/>
  <c r="AC12" i="13" s="1"/>
  <c r="S12" i="13"/>
  <c r="T12" i="13"/>
  <c r="U12" i="13"/>
  <c r="V12" i="13"/>
  <c r="W12" i="13"/>
  <c r="AN12" i="13" s="1"/>
  <c r="X12" i="13"/>
  <c r="AO12" i="13" s="1"/>
  <c r="Y12" i="13"/>
  <c r="Z12" i="13"/>
  <c r="AA12" i="13"/>
  <c r="R13" i="13"/>
  <c r="S13" i="13"/>
  <c r="T13" i="13"/>
  <c r="U13" i="13"/>
  <c r="V13" i="13"/>
  <c r="W13" i="13"/>
  <c r="X13" i="13"/>
  <c r="Y13" i="13"/>
  <c r="Z13" i="13"/>
  <c r="AA13" i="13"/>
  <c r="R14" i="13"/>
  <c r="AC14" i="13" s="1"/>
  <c r="S14" i="13"/>
  <c r="AJ14" i="13" s="1"/>
  <c r="T14" i="13"/>
  <c r="AK14" i="13" s="1"/>
  <c r="U14" i="13"/>
  <c r="V14" i="13"/>
  <c r="W14" i="13"/>
  <c r="X14" i="13"/>
  <c r="Y14" i="13"/>
  <c r="Z14" i="13"/>
  <c r="AA14" i="13"/>
  <c r="U15" i="13"/>
  <c r="X15" i="13"/>
  <c r="Y15" i="13"/>
  <c r="Z15" i="13"/>
  <c r="AA15" i="13"/>
  <c r="R16" i="13"/>
  <c r="AC16" i="13" s="1"/>
  <c r="S16" i="13"/>
  <c r="AJ16" i="13" s="1"/>
  <c r="T16" i="13"/>
  <c r="AK16" i="13" s="1"/>
  <c r="U16" i="13"/>
  <c r="W16" i="13"/>
  <c r="X16" i="13"/>
  <c r="Y16" i="13"/>
  <c r="AP16" i="13" s="1"/>
  <c r="Z16" i="13"/>
  <c r="AA16" i="13"/>
  <c r="R17" i="13"/>
  <c r="U17" i="13"/>
  <c r="X17" i="13"/>
  <c r="Y17" i="13"/>
  <c r="Z17" i="13"/>
  <c r="AA17" i="13"/>
  <c r="R18" i="13"/>
  <c r="AI18" i="13" s="1"/>
  <c r="S18" i="13"/>
  <c r="AJ18" i="13" s="1"/>
  <c r="T18" i="13"/>
  <c r="U18" i="13"/>
  <c r="W18" i="13"/>
  <c r="X18" i="13"/>
  <c r="Y18" i="13"/>
  <c r="AP18" i="13" s="1"/>
  <c r="Z18" i="13"/>
  <c r="AA18" i="13"/>
  <c r="R19" i="13"/>
  <c r="S19" i="13"/>
  <c r="T19" i="13"/>
  <c r="U19" i="13"/>
  <c r="V19" i="13"/>
  <c r="W19" i="13"/>
  <c r="X19" i="13"/>
  <c r="Y19" i="13"/>
  <c r="Z19" i="13"/>
  <c r="AA19" i="13"/>
  <c r="R20" i="13"/>
  <c r="S20" i="13"/>
  <c r="T20" i="13"/>
  <c r="U20" i="13"/>
  <c r="V20" i="13"/>
  <c r="AM20" i="13" s="1"/>
  <c r="W20" i="13"/>
  <c r="AN20" i="13" s="1"/>
  <c r="X20" i="13"/>
  <c r="Y20" i="13"/>
  <c r="Z20" i="13"/>
  <c r="AA20" i="13"/>
  <c r="R21" i="13"/>
  <c r="S21" i="13"/>
  <c r="AD20" i="13" s="1"/>
  <c r="T21" i="13"/>
  <c r="U21" i="13"/>
  <c r="V21" i="13"/>
  <c r="W21" i="13"/>
  <c r="X21" i="13"/>
  <c r="Y21" i="13"/>
  <c r="Z21" i="13"/>
  <c r="AA21" i="13"/>
  <c r="R22" i="13"/>
  <c r="AC22" i="13" s="1"/>
  <c r="S22" i="13"/>
  <c r="AD22" i="13" s="1"/>
  <c r="T22" i="13"/>
  <c r="AE22" i="13" s="1"/>
  <c r="U22" i="13"/>
  <c r="V22" i="13"/>
  <c r="W22" i="13"/>
  <c r="X22" i="13"/>
  <c r="Y22" i="13"/>
  <c r="Z22" i="13"/>
  <c r="AQ22" i="13" s="1"/>
  <c r="AA22" i="13"/>
  <c r="AR22" i="13" s="1"/>
  <c r="R23" i="13"/>
  <c r="S23" i="13"/>
  <c r="T23" i="13"/>
  <c r="U23" i="13"/>
  <c r="V23" i="13"/>
  <c r="W23" i="13"/>
  <c r="AN22" i="13" s="1"/>
  <c r="X23" i="13"/>
  <c r="Y23" i="13"/>
  <c r="Z23" i="13"/>
  <c r="AA23" i="13"/>
  <c r="R24" i="13"/>
  <c r="AI24" i="13" s="1"/>
  <c r="S24" i="13"/>
  <c r="AJ24" i="13" s="1"/>
  <c r="T24" i="13"/>
  <c r="AK24" i="13" s="1"/>
  <c r="U24" i="13"/>
  <c r="V24" i="13"/>
  <c r="X24" i="13"/>
  <c r="Y24" i="13"/>
  <c r="Z24" i="13"/>
  <c r="AA24" i="13"/>
  <c r="R25" i="13"/>
  <c r="S25" i="13"/>
  <c r="T25" i="13"/>
  <c r="U25" i="13"/>
  <c r="V25" i="13"/>
  <c r="X25" i="13"/>
  <c r="Y25" i="13"/>
  <c r="Z25" i="13"/>
  <c r="AA25" i="13"/>
  <c r="R26" i="13"/>
  <c r="AC26" i="13" s="1"/>
  <c r="S26" i="13"/>
  <c r="AJ26" i="13" s="1"/>
  <c r="T26" i="13"/>
  <c r="U26" i="13"/>
  <c r="V26" i="13"/>
  <c r="W26" i="13"/>
  <c r="X26" i="13"/>
  <c r="AO26" i="13" s="1"/>
  <c r="Y26" i="13"/>
  <c r="AP26" i="13" s="1"/>
  <c r="Z26" i="13"/>
  <c r="AA26" i="13"/>
  <c r="R27" i="13"/>
  <c r="S27" i="13"/>
  <c r="T27" i="13"/>
  <c r="U27" i="13"/>
  <c r="V27" i="13"/>
  <c r="W27" i="13"/>
  <c r="X27" i="13"/>
  <c r="Y27" i="13"/>
  <c r="Z27" i="13"/>
  <c r="AA27" i="13"/>
  <c r="R28" i="13"/>
  <c r="AC28" i="13" s="1"/>
  <c r="S28" i="13"/>
  <c r="AD28" i="13" s="1"/>
  <c r="T28" i="13"/>
  <c r="AE28" i="13" s="1"/>
  <c r="U28" i="13"/>
  <c r="V28" i="13"/>
  <c r="W28" i="13"/>
  <c r="X28" i="13"/>
  <c r="Y28" i="13"/>
  <c r="Z28" i="13"/>
  <c r="AA28" i="13"/>
  <c r="R29" i="13"/>
  <c r="S29" i="13"/>
  <c r="T29" i="13"/>
  <c r="U29" i="13"/>
  <c r="V29" i="13"/>
  <c r="W29" i="13"/>
  <c r="X29" i="13"/>
  <c r="Y29" i="13"/>
  <c r="Z29" i="13"/>
  <c r="AA29" i="13"/>
  <c r="X2" i="13"/>
  <c r="AO2" i="13" s="1"/>
  <c r="Y2" i="13"/>
  <c r="AP2" i="13" s="1"/>
  <c r="Z2" i="13"/>
  <c r="AQ2" i="13" s="1"/>
  <c r="AA2" i="13"/>
  <c r="AR2" i="13" s="1"/>
  <c r="T2" i="13"/>
  <c r="U2" i="13"/>
  <c r="V2" i="13"/>
  <c r="S2" i="13"/>
  <c r="AJ2" i="13" s="1"/>
  <c r="Q2" i="13"/>
  <c r="I17" i="13"/>
  <c r="W17" i="13" s="1"/>
  <c r="I15" i="13"/>
  <c r="W15" i="13" s="1"/>
  <c r="AD6" i="13" l="1"/>
  <c r="AC10" i="13"/>
  <c r="AD10" i="13"/>
  <c r="AE12" i="13"/>
  <c r="AE26" i="13"/>
  <c r="AC20" i="13"/>
  <c r="AD12" i="13"/>
  <c r="AP4" i="13"/>
  <c r="AD26" i="13"/>
  <c r="AE8" i="13"/>
  <c r="AI28" i="13"/>
  <c r="AQ26" i="13"/>
  <c r="AO20" i="13"/>
  <c r="AK18" i="13"/>
  <c r="AP12" i="13"/>
  <c r="AR8" i="13"/>
  <c r="AN6" i="13"/>
  <c r="AJ4" i="13"/>
  <c r="AB28" i="13"/>
  <c r="AD24" i="13"/>
  <c r="AD16" i="13"/>
  <c r="AI20" i="13"/>
  <c r="AJ12" i="13"/>
  <c r="AO16" i="13"/>
  <c r="AN16" i="13"/>
  <c r="AE14" i="13"/>
  <c r="AQ18" i="13"/>
  <c r="AR28" i="13"/>
  <c r="AN26" i="13"/>
  <c r="AP22" i="13"/>
  <c r="AL20" i="13"/>
  <c r="AO8" i="13"/>
  <c r="AK6" i="13"/>
  <c r="AD14" i="13"/>
  <c r="AL16" i="13"/>
  <c r="AN8" i="13"/>
  <c r="AJ6" i="13"/>
  <c r="AO22" i="13"/>
  <c r="AK20" i="13"/>
  <c r="AL12" i="13"/>
  <c r="AR4" i="13"/>
  <c r="AE20" i="13"/>
  <c r="AM12" i="13"/>
  <c r="AM16" i="13"/>
  <c r="AM2" i="13"/>
  <c r="AM14" i="13"/>
  <c r="AM26" i="13"/>
  <c r="AM22" i="13"/>
  <c r="AQ28" i="13"/>
  <c r="AB24" i="13"/>
  <c r="AP28" i="13"/>
  <c r="AL26" i="13"/>
  <c r="AJ20" i="13"/>
  <c r="AR18" i="13"/>
  <c r="AK12" i="13"/>
  <c r="AM8" i="13"/>
  <c r="AI6" i="13"/>
  <c r="AQ4" i="13"/>
  <c r="AN14" i="13"/>
  <c r="AB26" i="13"/>
  <c r="AB20" i="13"/>
  <c r="AK28" i="13"/>
  <c r="AQ24" i="13"/>
  <c r="AM24" i="13"/>
  <c r="AI22" i="13"/>
  <c r="AQ20" i="13"/>
  <c r="AM18" i="13"/>
  <c r="AR16" i="13"/>
  <c r="AP14" i="13"/>
  <c r="AR12" i="13"/>
  <c r="AP10" i="13"/>
  <c r="AL10" i="13"/>
  <c r="AP6" i="13"/>
  <c r="AL4" i="13"/>
  <c r="AI2" i="13"/>
  <c r="AB18" i="13"/>
  <c r="AB6" i="13"/>
  <c r="AO28" i="13"/>
  <c r="AH8" i="13"/>
  <c r="AL2" i="13"/>
  <c r="AJ28" i="13"/>
  <c r="AR26" i="13"/>
  <c r="AL24" i="13"/>
  <c r="AP20" i="13"/>
  <c r="AL18" i="13"/>
  <c r="AQ16" i="13"/>
  <c r="AO14" i="13"/>
  <c r="AQ12" i="13"/>
  <c r="AK10" i="13"/>
  <c r="AO6" i="13"/>
  <c r="AK4" i="13"/>
  <c r="AK26" i="13"/>
  <c r="AL8" i="13"/>
  <c r="AB10" i="13"/>
  <c r="AB16" i="13"/>
  <c r="AB14" i="13"/>
  <c r="AB12" i="13"/>
  <c r="AP24" i="13"/>
  <c r="AK22" i="13"/>
  <c r="AO18" i="13"/>
  <c r="AL14" i="13"/>
  <c r="AR10" i="13"/>
  <c r="AO10" i="13"/>
  <c r="AJ8" i="13"/>
  <c r="AN4" i="13"/>
  <c r="AK2" i="13"/>
  <c r="AH2" i="13"/>
  <c r="AM28" i="13"/>
  <c r="AI26" i="13"/>
  <c r="AR14" i="13"/>
  <c r="AR6" i="13"/>
  <c r="AN28" i="13"/>
  <c r="AL28" i="13"/>
  <c r="AR24" i="13"/>
  <c r="AO24" i="13"/>
  <c r="AL22" i="13"/>
  <c r="AJ22" i="13"/>
  <c r="AR20" i="13"/>
  <c r="AN18" i="13"/>
  <c r="AI16" i="13"/>
  <c r="AQ14" i="13"/>
  <c r="AI12" i="13"/>
  <c r="AQ10" i="13"/>
  <c r="AM10" i="13"/>
  <c r="AI8" i="13"/>
  <c r="AQ6" i="13"/>
  <c r="AO4" i="13"/>
  <c r="AM4" i="13"/>
  <c r="AH26" i="13"/>
  <c r="AH22" i="13"/>
  <c r="AI14" i="13"/>
  <c r="AB8" i="13"/>
  <c r="AH10" i="13"/>
  <c r="AH28" i="13"/>
  <c r="AH18" i="13"/>
  <c r="AH12" i="13"/>
  <c r="AH20" i="13"/>
  <c r="AH6" i="13"/>
  <c r="AH16" i="13"/>
  <c r="AH4" i="13"/>
  <c r="AH14" i="13"/>
  <c r="AH24" i="13"/>
  <c r="I24" i="13"/>
  <c r="W24" i="13" s="1"/>
  <c r="I25" i="13"/>
  <c r="W25" i="13" s="1"/>
  <c r="I11" i="13"/>
  <c r="W11" i="13" s="1"/>
  <c r="I10" i="13"/>
  <c r="W10" i="13" s="1"/>
  <c r="I3" i="13"/>
  <c r="W3" i="13" s="1"/>
  <c r="I2" i="13"/>
  <c r="W2" i="13" s="1"/>
  <c r="AN2" i="13" s="1"/>
  <c r="AN10" i="13" l="1"/>
  <c r="AN24" i="13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</calcChain>
</file>

<file path=xl/sharedStrings.xml><?xml version="1.0" encoding="utf-8"?>
<sst xmlns="http://schemas.openxmlformats.org/spreadsheetml/2006/main" count="1888" uniqueCount="455">
  <si>
    <t>Temperature</t>
  </si>
  <si>
    <t>Treatment</t>
  </si>
  <si>
    <t>Replicate</t>
  </si>
  <si>
    <t>Sample_ID</t>
  </si>
  <si>
    <t>Number</t>
  </si>
  <si>
    <t>TS</t>
  </si>
  <si>
    <t>VS</t>
  </si>
  <si>
    <t>CP</t>
  </si>
  <si>
    <t>TAN</t>
  </si>
  <si>
    <t>pH</t>
  </si>
  <si>
    <t>VFAs</t>
  </si>
  <si>
    <t>Acetic</t>
  </si>
  <si>
    <t>Propionic</t>
  </si>
  <si>
    <t>Butanoic</t>
  </si>
  <si>
    <t>NDF</t>
  </si>
  <si>
    <t>Hemicellulose</t>
  </si>
  <si>
    <t>Cellulose</t>
  </si>
  <si>
    <t>Lignin</t>
  </si>
  <si>
    <t>Lipids</t>
  </si>
  <si>
    <t>10°C</t>
  </si>
  <si>
    <t>Control</t>
  </si>
  <si>
    <t>FUCL14(1)</t>
  </si>
  <si>
    <t>WF36</t>
  </si>
  <si>
    <t>FUCL0 (1)</t>
  </si>
  <si>
    <t>WF6L</t>
  </si>
  <si>
    <t>FUCL30(1)</t>
  </si>
  <si>
    <t>WF41</t>
  </si>
  <si>
    <t>FUCL90(1)</t>
  </si>
  <si>
    <t>WF49</t>
  </si>
  <si>
    <t>FUCL14(2)</t>
  </si>
  <si>
    <t>WF37</t>
  </si>
  <si>
    <t>FUCL0 (2)</t>
  </si>
  <si>
    <t>WF7L</t>
  </si>
  <si>
    <t>FUCL30(2)</t>
  </si>
  <si>
    <t>WF42</t>
  </si>
  <si>
    <t>FUCL90(2)</t>
  </si>
  <si>
    <t>WF50</t>
  </si>
  <si>
    <t>Weekly flushing</t>
  </si>
  <si>
    <t>FUWL14(1)</t>
  </si>
  <si>
    <t>WF33</t>
  </si>
  <si>
    <t>FUWL0(1)</t>
  </si>
  <si>
    <t>WF3L</t>
  </si>
  <si>
    <t>FUWL30(1)</t>
  </si>
  <si>
    <t>WF39</t>
  </si>
  <si>
    <t>FUWL90(1)</t>
  </si>
  <si>
    <t>WF47</t>
  </si>
  <si>
    <t>FUWL14(2)</t>
  </si>
  <si>
    <t>WF34</t>
  </si>
  <si>
    <t>FUWL0(2)</t>
  </si>
  <si>
    <t>WF4L</t>
  </si>
  <si>
    <t>FUWL30(2)</t>
  </si>
  <si>
    <t>WF40</t>
  </si>
  <si>
    <t>FUWL90(2)</t>
  </si>
  <si>
    <t>WF48</t>
  </si>
  <si>
    <t>Control inoculum</t>
  </si>
  <si>
    <t>CBL0 (1)</t>
  </si>
  <si>
    <t>WF12L</t>
  </si>
  <si>
    <t>CBL90(1)</t>
  </si>
  <si>
    <t>WF53</t>
  </si>
  <si>
    <t>CBL90(2)</t>
  </si>
  <si>
    <t>WF54</t>
  </si>
  <si>
    <t>Weekly inoculum</t>
  </si>
  <si>
    <t>WBL0(1)</t>
  </si>
  <si>
    <t>WF9L</t>
  </si>
  <si>
    <t>WBL90(1)</t>
  </si>
  <si>
    <t>WF51</t>
  </si>
  <si>
    <t>WBL90(2)</t>
  </si>
  <si>
    <t>WF52</t>
  </si>
  <si>
    <t>17.5°C</t>
  </si>
  <si>
    <t>FUCM14(1)</t>
  </si>
  <si>
    <t>WF76</t>
  </si>
  <si>
    <t>FUCM30(1)</t>
  </si>
  <si>
    <t>WF81</t>
  </si>
  <si>
    <t>FUCM90(1)</t>
  </si>
  <si>
    <t>WF89</t>
  </si>
  <si>
    <t>FUCM0 (1)</t>
  </si>
  <si>
    <t>WF6M</t>
  </si>
  <si>
    <t>FUCM14(2)</t>
  </si>
  <si>
    <t>WF77</t>
  </si>
  <si>
    <t>FUCM30(2)</t>
  </si>
  <si>
    <t>WF82</t>
  </si>
  <si>
    <t>FUCM90(2)</t>
  </si>
  <si>
    <t>WF90</t>
  </si>
  <si>
    <t>FUCM0 (2)</t>
  </si>
  <si>
    <t>WF7M</t>
  </si>
  <si>
    <t>FUWM14(1)</t>
  </si>
  <si>
    <t>WF73</t>
  </si>
  <si>
    <t>FUWM30(1)</t>
  </si>
  <si>
    <t>WF79</t>
  </si>
  <si>
    <t>FUWM90(1)</t>
  </si>
  <si>
    <t>WF87</t>
  </si>
  <si>
    <t>FUWM0(1)</t>
  </si>
  <si>
    <t>WF3M</t>
  </si>
  <si>
    <t>FUWM14(2)</t>
  </si>
  <si>
    <t>WF74</t>
  </si>
  <si>
    <t>FUWM30(2)</t>
  </si>
  <si>
    <t>WF80</t>
  </si>
  <si>
    <t>FUWM90(2)</t>
  </si>
  <si>
    <t>WF88</t>
  </si>
  <si>
    <t>FUWM0(2)</t>
  </si>
  <si>
    <t>WF4M</t>
  </si>
  <si>
    <t>CBM90(1)</t>
  </si>
  <si>
    <t>WF93</t>
  </si>
  <si>
    <t>CBM0 (1)</t>
  </si>
  <si>
    <t>WF12M</t>
  </si>
  <si>
    <t>CBM90(2)</t>
  </si>
  <si>
    <t>WF94</t>
  </si>
  <si>
    <t>WBM90(1)</t>
  </si>
  <si>
    <t>WF91</t>
  </si>
  <si>
    <t>WBM0(1)</t>
  </si>
  <si>
    <t>WF9M</t>
  </si>
  <si>
    <t>WBM90(2)</t>
  </si>
  <si>
    <t>WF92</t>
  </si>
  <si>
    <t>25°C</t>
  </si>
  <si>
    <t>FUCH14(1)</t>
  </si>
  <si>
    <t>WF116</t>
  </si>
  <si>
    <t>FUCH30(1)</t>
  </si>
  <si>
    <t>WF121</t>
  </si>
  <si>
    <t>FUCH90(1)</t>
  </si>
  <si>
    <t>WF129</t>
  </si>
  <si>
    <t>FUCH0 (1)</t>
  </si>
  <si>
    <t>WF6H</t>
  </si>
  <si>
    <t>FUCH14(2)</t>
  </si>
  <si>
    <t>WF117</t>
  </si>
  <si>
    <t>FUCH30(2)</t>
  </si>
  <si>
    <t>WF122</t>
  </si>
  <si>
    <t>FUCH90(2)</t>
  </si>
  <si>
    <t>WF130</t>
  </si>
  <si>
    <t>FUCH0 (2)</t>
  </si>
  <si>
    <t>WF7H</t>
  </si>
  <si>
    <t>FUWH14(1)</t>
  </si>
  <si>
    <t>WF113</t>
  </si>
  <si>
    <t>FUWH30(1)</t>
  </si>
  <si>
    <t>WF119</t>
  </si>
  <si>
    <t>FUWH90(1)</t>
  </si>
  <si>
    <t>WF127</t>
  </si>
  <si>
    <t>FUWH0(1)</t>
  </si>
  <si>
    <t>WF3H</t>
  </si>
  <si>
    <t>FUWH14(2)</t>
  </si>
  <si>
    <t>WF114</t>
  </si>
  <si>
    <t>FUWH30(2)</t>
  </si>
  <si>
    <t>WF120</t>
  </si>
  <si>
    <t>FUWH90(2)</t>
  </si>
  <si>
    <t>WF128</t>
  </si>
  <si>
    <t>FUWH0(2)</t>
  </si>
  <si>
    <t>WF4H</t>
  </si>
  <si>
    <t>CBH90(1)</t>
  </si>
  <si>
    <t>WF133</t>
  </si>
  <si>
    <t>CBH0 (1)</t>
  </si>
  <si>
    <t>WF12H</t>
  </si>
  <si>
    <t>CBH90(2)</t>
  </si>
  <si>
    <t>WF134</t>
  </si>
  <si>
    <t>WBH90(1)</t>
  </si>
  <si>
    <t>WF131</t>
  </si>
  <si>
    <t>WBH0(1)</t>
  </si>
  <si>
    <t>WF9H</t>
  </si>
  <si>
    <t>WBH90(2)</t>
  </si>
  <si>
    <t>WF132</t>
  </si>
  <si>
    <t>CBL0 (2)</t>
  </si>
  <si>
    <t>WBL0(2)</t>
  </si>
  <si>
    <t>WF10L</t>
  </si>
  <si>
    <t>WF10M</t>
  </si>
  <si>
    <t>CBM0 (2)</t>
  </si>
  <si>
    <t>WBM0(2)</t>
  </si>
  <si>
    <t>WF10H</t>
  </si>
  <si>
    <t>CBH0 (2)</t>
  </si>
  <si>
    <t>WBH0(2)</t>
  </si>
  <si>
    <t>Day</t>
  </si>
  <si>
    <t>DF6L</t>
  </si>
  <si>
    <t>DF7L</t>
  </si>
  <si>
    <t>DF3L</t>
  </si>
  <si>
    <t>DF4L</t>
  </si>
  <si>
    <t>DF12L</t>
  </si>
  <si>
    <t>CRL0 (1)</t>
  </si>
  <si>
    <t>DF13L</t>
  </si>
  <si>
    <t>CRL0 (2)</t>
  </si>
  <si>
    <t>DF9L</t>
  </si>
  <si>
    <t>WRL0(1)</t>
  </si>
  <si>
    <t>DF10L</t>
  </si>
  <si>
    <t>WRL0(2)</t>
  </si>
  <si>
    <t>DF6M</t>
  </si>
  <si>
    <t>DF7M</t>
  </si>
  <si>
    <t>DF3M</t>
  </si>
  <si>
    <t>DF4M</t>
  </si>
  <si>
    <t>DF12M</t>
  </si>
  <si>
    <t>CRM0 (1)</t>
  </si>
  <si>
    <t>DF13M</t>
  </si>
  <si>
    <t>CRM0 (2)</t>
  </si>
  <si>
    <t>DF9LM</t>
  </si>
  <si>
    <t>WRM0(1)</t>
  </si>
  <si>
    <t>DF10M</t>
  </si>
  <si>
    <t>WRM0(2)</t>
  </si>
  <si>
    <t>DF6H</t>
  </si>
  <si>
    <t>DF7H</t>
  </si>
  <si>
    <t>DF3H</t>
  </si>
  <si>
    <t>DF4H</t>
  </si>
  <si>
    <t>DF12H</t>
  </si>
  <si>
    <t>CRH0 (1)</t>
  </si>
  <si>
    <t>DF13H</t>
  </si>
  <si>
    <t>CRH0 (2)</t>
  </si>
  <si>
    <t>DF9H</t>
  </si>
  <si>
    <t>WRH0(1)</t>
  </si>
  <si>
    <t>DF10H</t>
  </si>
  <si>
    <t>WRH0(2)</t>
  </si>
  <si>
    <t>DF36</t>
  </si>
  <si>
    <t>DF37</t>
  </si>
  <si>
    <t>DF33</t>
  </si>
  <si>
    <t>DF34</t>
  </si>
  <si>
    <t>DF76</t>
  </si>
  <si>
    <t>DF77</t>
  </si>
  <si>
    <t>DF73</t>
  </si>
  <si>
    <t>DF74</t>
  </si>
  <si>
    <t>DF116</t>
  </si>
  <si>
    <t>DF117</t>
  </si>
  <si>
    <t>DF113</t>
  </si>
  <si>
    <t>DF114</t>
  </si>
  <si>
    <t>DF41</t>
  </si>
  <si>
    <t>DF42</t>
  </si>
  <si>
    <t>DF39</t>
  </si>
  <si>
    <t>DF40</t>
  </si>
  <si>
    <t>DF81</t>
  </si>
  <si>
    <t>DF82</t>
  </si>
  <si>
    <t>DF79</t>
  </si>
  <si>
    <t>DF80</t>
  </si>
  <si>
    <t>DF121</t>
  </si>
  <si>
    <t>DF122</t>
  </si>
  <si>
    <t>DF119</t>
  </si>
  <si>
    <t>DF120</t>
  </si>
  <si>
    <t>DF49</t>
  </si>
  <si>
    <t>DF50</t>
  </si>
  <si>
    <t>DF47</t>
  </si>
  <si>
    <t>DF48</t>
  </si>
  <si>
    <t>DF53</t>
  </si>
  <si>
    <t>CRL90(1)</t>
  </si>
  <si>
    <t>DF54</t>
  </si>
  <si>
    <t>CRL90(2)</t>
  </si>
  <si>
    <t>DF51</t>
  </si>
  <si>
    <t>WRL90(1)</t>
  </si>
  <si>
    <t>DF52</t>
  </si>
  <si>
    <t>WRL90(2)</t>
  </si>
  <si>
    <t>DF89</t>
  </si>
  <si>
    <t>DF90</t>
  </si>
  <si>
    <t>DF87</t>
  </si>
  <si>
    <t>DF88</t>
  </si>
  <si>
    <t>DF93</t>
  </si>
  <si>
    <t>DF94</t>
  </si>
  <si>
    <t>DF91</t>
  </si>
  <si>
    <t>DF92</t>
  </si>
  <si>
    <t>DF129</t>
  </si>
  <si>
    <t>DF130</t>
  </si>
  <si>
    <t>DF127</t>
  </si>
  <si>
    <t>DF128</t>
  </si>
  <si>
    <t>DF133</t>
  </si>
  <si>
    <t>DF134</t>
  </si>
  <si>
    <t>DF131</t>
  </si>
  <si>
    <t>DF132</t>
  </si>
  <si>
    <t>14</t>
  </si>
  <si>
    <t>0</t>
  </si>
  <si>
    <t>30</t>
  </si>
  <si>
    <t>90</t>
  </si>
  <si>
    <t>TKN</t>
  </si>
  <si>
    <t>Farm</t>
  </si>
  <si>
    <t>W</t>
  </si>
  <si>
    <t>D</t>
  </si>
  <si>
    <t>WF11L</t>
  </si>
  <si>
    <t>WF11M</t>
  </si>
  <si>
    <t>WF11H</t>
  </si>
  <si>
    <t>VS%</t>
  </si>
  <si>
    <t xml:space="preserve">TS </t>
  </si>
  <si>
    <t>BE</t>
  </si>
  <si>
    <t>AD5</t>
  </si>
  <si>
    <t>FUWM(1)</t>
  </si>
  <si>
    <t>AD6</t>
  </si>
  <si>
    <t>FUWM(2)</t>
  </si>
  <si>
    <t>AD7</t>
  </si>
  <si>
    <t>weekly slurry</t>
  </si>
  <si>
    <t>AD8</t>
  </si>
  <si>
    <t>AD9</t>
  </si>
  <si>
    <t>AD10</t>
  </si>
  <si>
    <t>AD11</t>
  </si>
  <si>
    <t>AD12</t>
  </si>
  <si>
    <t>AD13</t>
  </si>
  <si>
    <t>AD14</t>
  </si>
  <si>
    <t>HAVN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</si>
  <si>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</si>
  <si>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</si>
  <si>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</si>
  <si>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</si>
  <si>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</si>
  <si>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</si>
  <si>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</si>
  <si>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</si>
  <si>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</si>
  <si>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</si>
  <si>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AC</t>
  </si>
  <si>
    <t>BW</t>
  </si>
  <si>
    <t>AW</t>
  </si>
  <si>
    <t>BC</t>
  </si>
  <si>
    <t>CW</t>
  </si>
  <si>
    <t>DW</t>
  </si>
  <si>
    <t>/</t>
  </si>
  <si>
    <t>Unit</t>
  </si>
  <si>
    <t>day</t>
  </si>
  <si>
    <t>g/kg slurry</t>
  </si>
  <si>
    <t>% TS</t>
  </si>
  <si>
    <t>Feces</t>
  </si>
  <si>
    <t>Urine</t>
  </si>
  <si>
    <t>Parameter</t>
  </si>
  <si>
    <t>SH1.1</t>
  </si>
  <si>
    <t>SH1.2</t>
  </si>
  <si>
    <t>SH2.1</t>
  </si>
  <si>
    <t>SH2.2</t>
  </si>
  <si>
    <t>SH3.1</t>
  </si>
  <si>
    <t>SH3.2</t>
  </si>
  <si>
    <t>SH4.1</t>
  </si>
  <si>
    <t>SH4.2</t>
  </si>
  <si>
    <t>Dry matter (g·kg⁻¹ slurry)</t>
  </si>
  <si>
    <t>226 ± 16</t>
  </si>
  <si>
    <t>9.1 ± 3.7</t>
  </si>
  <si>
    <t>178 ± 12</t>
  </si>
  <si>
    <t>68.1 ± 0.2</t>
  </si>
  <si>
    <t>Volatile solids (g·kg⁻¹ DM)</t>
  </si>
  <si>
    <t>839 ± 14</t>
  </si>
  <si>
    <t>497 ± 39</t>
  </si>
  <si>
    <t>839.2 ± 0.2</t>
  </si>
  <si>
    <t>533 ± 40</t>
  </si>
  <si>
    <t>759 ± 12</t>
  </si>
  <si>
    <t>NH₄⁺-N (g·kg⁻¹ slurry)</t>
  </si>
  <si>
    <t>0.88 ± 0.10</t>
  </si>
  <si>
    <t>0.08 ± 0.04</t>
  </si>
  <si>
    <t>0.82 ± 0.24</t>
  </si>
  <si>
    <t>0.5 ± 0.5</t>
  </si>
  <si>
    <t>3.3 ± 0.7</t>
  </si>
  <si>
    <t>3.1 ± 0.5</t>
  </si>
  <si>
    <t>Kjeldahl N (g·kg⁻¹ slurry)</t>
  </si>
  <si>
    <t>1.9 ± 0.8</t>
  </si>
  <si>
    <t>5.35 ± 0.01</t>
  </si>
  <si>
    <t>6.74 ± 0.39</t>
  </si>
  <si>
    <t>7.56 ± 0.08</t>
  </si>
  <si>
    <t>7.21 ± 0.06</t>
  </si>
  <si>
    <t>7.10 ± 0.01</t>
  </si>
  <si>
    <t>6.94 ± 0.14</t>
  </si>
  <si>
    <t>8.24 ± 0.37</t>
  </si>
  <si>
    <t>6.68 ± 0.23</t>
  </si>
  <si>
    <t>6.61 ± 0.34</t>
  </si>
  <si>
    <t>Volatile fatty acids (g·kg⁻¹ slurry)</t>
  </si>
  <si>
    <t>7.0 ± 3.6</t>
  </si>
  <si>
    <t>11.7 ± 1.2</t>
  </si>
  <si>
    <t>10.7 ± 1.8</t>
  </si>
  <si>
    <t>10.5 ± 3.7</t>
  </si>
  <si>
    <t>0.11 ± 0.16</t>
  </si>
  <si>
    <t>17.7 ± 0.8</t>
  </si>
  <si>
    <t>17.6 ± 0.2</t>
  </si>
  <si>
    <t>NDF (g·kg⁻¹ DM)</t>
  </si>
  <si>
    <t>ND</t>
  </si>
  <si>
    <t>356 ± 23</t>
  </si>
  <si>
    <t>379 ± 43</t>
  </si>
  <si>
    <t>382 ± 21</t>
  </si>
  <si>
    <t>357 ± 24</t>
  </si>
  <si>
    <t>336 ± 20</t>
  </si>
  <si>
    <t>Cellulose (g·kg⁻¹ DM)</t>
  </si>
  <si>
    <t>226 ± 12</t>
  </si>
  <si>
    <t>220 ± 23</t>
  </si>
  <si>
    <t>Hemicellulose (g·kg⁻¹ DM)</t>
  </si>
  <si>
    <t>119 ± 30</t>
  </si>
  <si>
    <t>136 ± 36</t>
  </si>
  <si>
    <t>109 ± 15</t>
  </si>
  <si>
    <t>103 ± 11</t>
  </si>
  <si>
    <t>Lignin (g·kg⁻¹ DM)</t>
  </si>
  <si>
    <t>41.5 ± 3.7</t>
  </si>
  <si>
    <t>38.0 ± 1.7</t>
  </si>
  <si>
    <t>36.1 ± 1.9</t>
  </si>
  <si>
    <t>40.7 ± 0.9</t>
  </si>
  <si>
    <t>36.5 ± 0.4</t>
  </si>
  <si>
    <t>36.1 ± 2.0</t>
  </si>
  <si>
    <t>Lipids (g·kg⁻¹ DM)</t>
  </si>
  <si>
    <t>104 ± 13</t>
  </si>
  <si>
    <t>117.5 ± 0.3</t>
  </si>
  <si>
    <t>126.5 ± 2.4</t>
  </si>
  <si>
    <t>99 ± 27</t>
  </si>
  <si>
    <t>101 ± 29</t>
  </si>
  <si>
    <t>71 ± 2</t>
  </si>
  <si>
    <t>72 ± 4</t>
  </si>
  <si>
    <t>17 ± 1</t>
  </si>
  <si>
    <t>65 ± 2</t>
  </si>
  <si>
    <t>757 ± 1</t>
  </si>
  <si>
    <t>766 ± 8</t>
  </si>
  <si>
    <t>762 ± 3</t>
  </si>
  <si>
    <t>4.1 ± 0.1</t>
  </si>
  <si>
    <t>4.2 ± 0.3</t>
  </si>
  <si>
    <t>9.0 ± 0.1</t>
  </si>
  <si>
    <t>5.4 ± 0.2</t>
  </si>
  <si>
    <t>6.8 ± 0.3</t>
  </si>
  <si>
    <t>3.4 ± 0.2</t>
  </si>
  <si>
    <t>5.2 ± 0.5</t>
  </si>
  <si>
    <t>5.0 ± 0.4</t>
  </si>
  <si>
    <t>427 ± 3</t>
  </si>
  <si>
    <t>198 ± 9</t>
  </si>
  <si>
    <t>208 ± 9</t>
  </si>
  <si>
    <t>211 ± 10</t>
  </si>
  <si>
    <t>197 ± 7</t>
  </si>
  <si>
    <t>160 ± 6</t>
  </si>
  <si>
    <t>121 ± 3</t>
  </si>
  <si>
    <t>137 ± 1</t>
  </si>
  <si>
    <t>3.91 ± 0.01</t>
  </si>
  <si>
    <t>6.66 ± 0.04</t>
  </si>
  <si>
    <t>5.63 ± 0.11</t>
  </si>
  <si>
    <t>4.10 ± 0.04</t>
  </si>
  <si>
    <t>6.36 ± 0.01</t>
  </si>
  <si>
    <t>7.66 ± 0.04</t>
  </si>
  <si>
    <t>7.12 ± 0.01</t>
  </si>
  <si>
    <t>6.94 ± 0.07</t>
  </si>
  <si>
    <t>7.16 ± 0.08</t>
  </si>
  <si>
    <t>7.06 ± 0.07</t>
  </si>
  <si>
    <t>0.15 ± 0.04</t>
  </si>
  <si>
    <t>203 ± 13</t>
  </si>
  <si>
    <t>18 ± 1</t>
  </si>
  <si>
    <t>80 ± 2</t>
  </si>
  <si>
    <t>187 ± 8</t>
  </si>
  <si>
    <t>30 ± 1</t>
  </si>
  <si>
    <t>58 ± 4</t>
  </si>
  <si>
    <t>861 ± 4</t>
  </si>
  <si>
    <t>547 ± 12</t>
  </si>
  <si>
    <t>746 ± 3</t>
  </si>
  <si>
    <t>831 ± 24</t>
  </si>
  <si>
    <t>602 ± 2</t>
  </si>
  <si>
    <t>770 ± 11</t>
  </si>
  <si>
    <t>1.7 ± 0.3</t>
  </si>
  <si>
    <t>5.0 ± 0.02</t>
  </si>
  <si>
    <t>1 ± 0</t>
  </si>
  <si>
    <t>0.09 ± 0</t>
  </si>
  <si>
    <t>2.9 ± 0.08</t>
  </si>
  <si>
    <t>8.7 ± 0.7</t>
  </si>
  <si>
    <t>7.7 ± 0.2</t>
  </si>
  <si>
    <t>Volatile fatty acids (g·kg⁻¹ DM)</t>
  </si>
  <si>
    <t>14.4 ± 0.5</t>
  </si>
  <si>
    <t>17.0 ± 0.6</t>
  </si>
  <si>
    <t>12.5 ± 0.4</t>
  </si>
  <si>
    <t>13.9 ± 0.1</t>
  </si>
  <si>
    <t>NDa</t>
  </si>
  <si>
    <t>364 ± 20</t>
  </si>
  <si>
    <t>417 ± 24</t>
  </si>
  <si>
    <t>403 ± 28</t>
  </si>
  <si>
    <t>215 ± 14</t>
  </si>
  <si>
    <t>249 ± 12</t>
  </si>
  <si>
    <t>231 ± 20</t>
  </si>
  <si>
    <t>105 ± 4</t>
  </si>
  <si>
    <t>126 ± 11</t>
  </si>
  <si>
    <t>102 ± 16</t>
  </si>
  <si>
    <t>44.0 ± 1.0</t>
  </si>
  <si>
    <t>41.8 ± 1.0</t>
  </si>
  <si>
    <t>70 ± 25</t>
  </si>
  <si>
    <t>129 ± 2</t>
  </si>
  <si>
    <t>128 ± 4</t>
  </si>
  <si>
    <t>126 ±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</si>
</sst>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5" fillId="0" borderId="1" xfId="0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2" fontId="3" fillId="0" borderId="2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2" fontId="0" fillId="0" borderId="4" xfId="0" applyNumberForma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5371-403C-4E0E-9487-C68E596A656E}">
  <dimension ref="A1:X165"/>
  <sheetViews>
    <sheetView tabSelected="1" zoomScale="130" zoomScaleNormal="130" workbookViewId="0">
      <selection activeCell="G12" sqref="G12"/>
    </sheetView>
  </sheetViews>
  <sheetFormatPr defaultRowHeight="14.4" x14ac:dyDescent="0.3"/>
  <cols>
    <col min="1" max="2" width="8.88671875" style="1"/>
    <col min="3" max="3" width="13.109375" style="1" customWidth="1"/>
    <col min="4" max="4" width="7.44140625" style="1" customWidth="1"/>
    <col min="5" max="5" width="11.6640625" style="1" customWidth="1"/>
    <col min="6" max="6" width="5.77734375" style="1" customWidth="1"/>
    <col min="7" max="7" width="8.88671875" style="1"/>
    <col min="8" max="9" width="8.88671875" style="17"/>
    <col min="10" max="10" width="8.88671875" style="42"/>
    <col min="11" max="11" width="8.88671875" style="17"/>
    <col min="12" max="12" width="8.88671875" style="42"/>
    <col min="13" max="17" width="8.88671875" style="1"/>
    <col min="18" max="22" width="8.88671875" style="17"/>
    <col min="23" max="16384" width="8.88671875" style="1"/>
  </cols>
  <sheetData>
    <row r="1" spans="1:22" x14ac:dyDescent="0.3">
      <c r="A1" s="1" t="s">
        <v>261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167</v>
      </c>
      <c r="G1" s="1" t="s">
        <v>4</v>
      </c>
      <c r="H1" s="17" t="s">
        <v>268</v>
      </c>
      <c r="I1" s="17" t="s">
        <v>6</v>
      </c>
      <c r="J1" s="42" t="s">
        <v>8</v>
      </c>
      <c r="K1" s="17" t="s">
        <v>260</v>
      </c>
      <c r="L1" s="42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 t="s">
        <v>18</v>
      </c>
    </row>
    <row r="2" spans="1:22" x14ac:dyDescent="0.3">
      <c r="A2" s="1" t="s">
        <v>263</v>
      </c>
      <c r="B2" s="1" t="s">
        <v>19</v>
      </c>
      <c r="C2" s="1" t="s">
        <v>20</v>
      </c>
      <c r="D2" s="1">
        <v>1</v>
      </c>
      <c r="E2" s="1" t="s">
        <v>23</v>
      </c>
      <c r="F2" s="1">
        <v>0</v>
      </c>
      <c r="G2" s="1" t="s">
        <v>168</v>
      </c>
      <c r="H2" s="17">
        <v>63.4</v>
      </c>
      <c r="I2" s="17">
        <v>77.055329790559597</v>
      </c>
      <c r="J2" s="42">
        <v>3.8352380952380951</v>
      </c>
      <c r="K2" s="17">
        <v>5.523319863288906</v>
      </c>
      <c r="L2" s="42">
        <v>10.550511050317565</v>
      </c>
      <c r="M2" s="1">
        <v>8.64</v>
      </c>
      <c r="N2" s="1">
        <v>5.3369126000000007</v>
      </c>
      <c r="O2" s="1">
        <v>3.5046007000000001</v>
      </c>
      <c r="P2" s="1">
        <v>0.94217060000000008</v>
      </c>
      <c r="Q2" s="1">
        <v>0.5697085999999999</v>
      </c>
      <c r="R2" s="17">
        <v>44.25455603967967</v>
      </c>
      <c r="S2" s="17">
        <v>23.180415334713746</v>
      </c>
      <c r="T2" s="17">
        <v>16.871408616799197</v>
      </c>
      <c r="U2" s="17">
        <v>4.2027320881667265</v>
      </c>
      <c r="V2" s="17">
        <v>11.090198973106167</v>
      </c>
    </row>
    <row r="3" spans="1:22" x14ac:dyDescent="0.3">
      <c r="A3" s="1" t="s">
        <v>263</v>
      </c>
      <c r="B3" s="1" t="s">
        <v>19</v>
      </c>
      <c r="C3" s="1" t="s">
        <v>20</v>
      </c>
      <c r="D3" s="1">
        <v>2</v>
      </c>
      <c r="E3" s="1" t="s">
        <v>31</v>
      </c>
      <c r="F3" s="1">
        <v>0</v>
      </c>
      <c r="G3" s="1" t="s">
        <v>169</v>
      </c>
      <c r="H3" s="17">
        <v>67.2</v>
      </c>
      <c r="I3" s="17">
        <v>77.233804914370822</v>
      </c>
      <c r="J3" s="42">
        <v>3.676605316973415</v>
      </c>
      <c r="K3" s="17">
        <v>5.1636223757480444</v>
      </c>
      <c r="L3" s="42">
        <v>9.2938566173414277</v>
      </c>
      <c r="M3" s="1">
        <v>8.51</v>
      </c>
      <c r="N3" s="1">
        <v>5.7946133</v>
      </c>
      <c r="O3" s="1">
        <v>3.9305212000000003</v>
      </c>
      <c r="P3" s="1">
        <v>0.99038530000000002</v>
      </c>
      <c r="Q3" s="1">
        <v>0.59438950000000002</v>
      </c>
      <c r="R3" s="17">
        <v>48.184502604929676</v>
      </c>
      <c r="S3" s="17">
        <v>24.991375124852372</v>
      </c>
      <c r="T3" s="17">
        <v>18.447071041248279</v>
      </c>
      <c r="U3" s="17">
        <v>4.7460564388290267</v>
      </c>
      <c r="V3" s="17">
        <v>12.630407347529241</v>
      </c>
    </row>
    <row r="4" spans="1:22" x14ac:dyDescent="0.3">
      <c r="A4" s="1" t="s">
        <v>263</v>
      </c>
      <c r="B4" s="1" t="s">
        <v>19</v>
      </c>
      <c r="C4" s="1" t="s">
        <v>37</v>
      </c>
      <c r="D4" s="1">
        <v>1</v>
      </c>
      <c r="E4" s="1" t="s">
        <v>40</v>
      </c>
      <c r="F4" s="1">
        <v>0</v>
      </c>
      <c r="G4" s="1" t="s">
        <v>170</v>
      </c>
      <c r="H4" s="17">
        <v>67</v>
      </c>
      <c r="I4" s="17">
        <v>77.81</v>
      </c>
      <c r="J4" s="42">
        <v>3.6547670961347869</v>
      </c>
      <c r="K4" s="17">
        <v>5.1801885834393868</v>
      </c>
      <c r="L4" s="42">
        <v>9.5338842956537437</v>
      </c>
      <c r="M4" s="1">
        <v>8.59</v>
      </c>
      <c r="N4" s="1">
        <v>5.0885243000000004</v>
      </c>
      <c r="O4" s="1">
        <v>3.5539512999999996</v>
      </c>
      <c r="P4" s="1">
        <v>0.87628200000000001</v>
      </c>
      <c r="Q4" s="1">
        <v>0.59864030000000001</v>
      </c>
      <c r="R4" s="17">
        <v>49.360230778889111</v>
      </c>
      <c r="S4" s="17">
        <v>25.942280547625042</v>
      </c>
      <c r="T4" s="17">
        <v>19.346077589509754</v>
      </c>
      <c r="U4" s="17">
        <v>4.0718726417543163</v>
      </c>
      <c r="V4" s="17">
        <v>11.418825286131895</v>
      </c>
    </row>
    <row r="5" spans="1:22" x14ac:dyDescent="0.3">
      <c r="A5" s="1" t="s">
        <v>263</v>
      </c>
      <c r="B5" s="1" t="s">
        <v>19</v>
      </c>
      <c r="C5" s="1" t="s">
        <v>37</v>
      </c>
      <c r="D5" s="1">
        <v>2</v>
      </c>
      <c r="E5" s="1" t="s">
        <v>48</v>
      </c>
      <c r="F5" s="1">
        <v>0</v>
      </c>
      <c r="G5" s="1" t="s">
        <v>171</v>
      </c>
      <c r="H5" s="17">
        <v>61.9</v>
      </c>
      <c r="I5" s="17">
        <v>76.420000000000016</v>
      </c>
      <c r="J5" s="42">
        <v>3.8160869565217395</v>
      </c>
      <c r="K5" s="17">
        <v>5.3411578300245157</v>
      </c>
      <c r="L5" s="42">
        <v>9.5316929593923483</v>
      </c>
      <c r="M5" s="1">
        <v>8.6199999999999992</v>
      </c>
      <c r="N5" s="1">
        <v>5.1904127000000004</v>
      </c>
      <c r="O5" s="1">
        <v>3.4399598999999998</v>
      </c>
      <c r="P5" s="1">
        <v>0.84399429999999998</v>
      </c>
      <c r="Q5" s="1">
        <v>0.55140880000000003</v>
      </c>
      <c r="R5" s="17">
        <v>43.763714389416279</v>
      </c>
      <c r="S5" s="17">
        <v>23.130327135078499</v>
      </c>
      <c r="T5" s="17">
        <v>16.833737761008869</v>
      </c>
      <c r="U5" s="17">
        <v>3.7996494933289107</v>
      </c>
      <c r="V5" s="17">
        <v>12.522414991321277</v>
      </c>
    </row>
    <row r="6" spans="1:22" x14ac:dyDescent="0.3">
      <c r="A6" s="1" t="s">
        <v>263</v>
      </c>
      <c r="B6" s="1" t="s">
        <v>19</v>
      </c>
      <c r="C6" s="1" t="s">
        <v>54</v>
      </c>
      <c r="D6" s="1">
        <v>1</v>
      </c>
      <c r="E6" s="1" t="s">
        <v>173</v>
      </c>
      <c r="F6" s="1">
        <v>0</v>
      </c>
      <c r="G6" s="1" t="s">
        <v>172</v>
      </c>
      <c r="H6" s="17">
        <v>72.299482982664699</v>
      </c>
      <c r="I6" s="17">
        <v>75.666029318036948</v>
      </c>
      <c r="J6" s="42">
        <v>4.2112035516152782</v>
      </c>
      <c r="K6" s="17">
        <v>5.316160959651036</v>
      </c>
      <c r="L6" s="42">
        <v>6.9059838002234866</v>
      </c>
      <c r="M6" s="1">
        <v>7.17</v>
      </c>
      <c r="N6" s="1">
        <v>12.574059399999999</v>
      </c>
      <c r="O6" s="1">
        <v>8.3647925000000001</v>
      </c>
      <c r="P6" s="1">
        <v>2.7148504</v>
      </c>
      <c r="Q6" s="1">
        <v>0.84081629999999996</v>
      </c>
      <c r="R6" s="17">
        <v>33.962743814539785</v>
      </c>
      <c r="S6" s="17">
        <v>20.441530007873702</v>
      </c>
      <c r="T6" s="17">
        <v>9.8423628163068191</v>
      </c>
      <c r="U6" s="17">
        <v>3.6788509903592659</v>
      </c>
      <c r="V6" s="17">
        <v>13.793743673002098</v>
      </c>
    </row>
    <row r="7" spans="1:22" x14ac:dyDescent="0.3">
      <c r="A7" s="1" t="s">
        <v>263</v>
      </c>
      <c r="B7" s="1" t="s">
        <v>19</v>
      </c>
      <c r="C7" s="1" t="s">
        <v>54</v>
      </c>
      <c r="D7" s="1">
        <v>2</v>
      </c>
      <c r="E7" s="1" t="s">
        <v>175</v>
      </c>
      <c r="F7" s="1">
        <v>0</v>
      </c>
      <c r="G7" s="1" t="s">
        <v>174</v>
      </c>
      <c r="H7" s="17">
        <v>70.240041297427496</v>
      </c>
      <c r="I7" s="17">
        <v>75.796568627450981</v>
      </c>
      <c r="J7" s="42">
        <v>4.0099986516152786</v>
      </c>
      <c r="K7" s="17">
        <v>5.5389506674405098</v>
      </c>
      <c r="L7" s="42">
        <v>9.5559500989076955</v>
      </c>
      <c r="M7" s="1">
        <v>7.25</v>
      </c>
      <c r="N7" s="1">
        <v>10.918703600000001</v>
      </c>
      <c r="O7" s="1">
        <v>6.5776873</v>
      </c>
      <c r="P7" s="1">
        <v>2.6154714000000001</v>
      </c>
      <c r="Q7" s="1">
        <v>1.0226280000000001</v>
      </c>
      <c r="R7" s="17">
        <v>37.182352873527407</v>
      </c>
      <c r="S7" s="17">
        <v>19.2246753501664</v>
      </c>
      <c r="T7" s="17">
        <v>14.034254891219222</v>
      </c>
      <c r="U7" s="17">
        <v>3.9234226321417847</v>
      </c>
      <c r="V7" s="17">
        <v>13.674140149955589</v>
      </c>
    </row>
    <row r="8" spans="1:22" x14ac:dyDescent="0.3">
      <c r="A8" s="1" t="s">
        <v>263</v>
      </c>
      <c r="B8" s="1" t="s">
        <v>19</v>
      </c>
      <c r="C8" s="1" t="s">
        <v>61</v>
      </c>
      <c r="D8" s="1">
        <v>1</v>
      </c>
      <c r="E8" s="1" t="s">
        <v>177</v>
      </c>
      <c r="F8" s="1">
        <v>0</v>
      </c>
      <c r="G8" s="1" t="s">
        <v>176</v>
      </c>
      <c r="H8" s="17">
        <v>69.134246863023094</v>
      </c>
      <c r="I8" s="17">
        <v>76.047995139732691</v>
      </c>
      <c r="J8" s="42">
        <v>4.4254126516152779</v>
      </c>
      <c r="K8" s="17">
        <v>5.3598785766691117</v>
      </c>
      <c r="L8" s="42">
        <v>5.840412031586462</v>
      </c>
      <c r="M8" s="1">
        <v>7.1</v>
      </c>
      <c r="N8" s="1">
        <v>12.020690099999999</v>
      </c>
      <c r="O8" s="1">
        <v>8.3690222999999992</v>
      </c>
      <c r="P8" s="1">
        <v>2.0286743</v>
      </c>
      <c r="Q8" s="1">
        <v>0.93900910000000004</v>
      </c>
      <c r="R8" s="17">
        <v>34.939959712943278</v>
      </c>
      <c r="S8" s="17">
        <v>20.148326723377444</v>
      </c>
      <c r="T8" s="17">
        <v>11.042408438338635</v>
      </c>
      <c r="U8" s="17">
        <v>3.7492245512271976</v>
      </c>
      <c r="V8" s="17">
        <v>11.76504465096431</v>
      </c>
    </row>
    <row r="9" spans="1:22" x14ac:dyDescent="0.3">
      <c r="A9" s="1" t="s">
        <v>263</v>
      </c>
      <c r="B9" s="1" t="s">
        <v>19</v>
      </c>
      <c r="C9" s="1" t="s">
        <v>61</v>
      </c>
      <c r="D9" s="1">
        <v>2</v>
      </c>
      <c r="E9" s="1" t="s">
        <v>179</v>
      </c>
      <c r="F9" s="1">
        <v>0</v>
      </c>
      <c r="G9" s="1" t="s">
        <v>178</v>
      </c>
      <c r="H9" s="17">
        <v>74.965866195486299</v>
      </c>
      <c r="I9" s="17">
        <v>77.171003319413217</v>
      </c>
      <c r="J9" s="42">
        <v>4.0091356516152779</v>
      </c>
      <c r="K9" s="17">
        <v>5.3362916218293623</v>
      </c>
      <c r="L9" s="42">
        <v>8.2947248138380285</v>
      </c>
      <c r="M9" s="1">
        <v>7.11</v>
      </c>
      <c r="N9" s="1">
        <v>9.4296357999999998</v>
      </c>
      <c r="O9" s="1">
        <v>6.1179164999999998</v>
      </c>
      <c r="P9" s="1">
        <v>2.0149401</v>
      </c>
      <c r="Q9" s="1">
        <v>0.94049240000000001</v>
      </c>
      <c r="R9" s="17">
        <v>40.952644087561907</v>
      </c>
      <c r="S9" s="17">
        <v>21.382730249666889</v>
      </c>
      <c r="T9" s="17">
        <v>16.090502010404464</v>
      </c>
      <c r="U9" s="17">
        <v>3.4794118274905497</v>
      </c>
      <c r="V9" s="17">
        <v>11.729391968598797</v>
      </c>
    </row>
    <row r="10" spans="1:22" x14ac:dyDescent="0.3">
      <c r="A10" s="1" t="s">
        <v>263</v>
      </c>
      <c r="B10" s="1" t="s">
        <v>68</v>
      </c>
      <c r="C10" s="1" t="s">
        <v>20</v>
      </c>
      <c r="D10" s="1">
        <v>1</v>
      </c>
      <c r="E10" s="1" t="s">
        <v>75</v>
      </c>
      <c r="F10" s="1">
        <v>0</v>
      </c>
      <c r="G10" s="1" t="s">
        <v>180</v>
      </c>
      <c r="H10" s="17">
        <v>63.4</v>
      </c>
      <c r="I10" s="17">
        <v>77.055329790559597</v>
      </c>
      <c r="J10" s="42">
        <v>3.8352380952380951</v>
      </c>
      <c r="K10" s="17">
        <v>5.523319863288906</v>
      </c>
      <c r="L10" s="42">
        <v>10.550511050317565</v>
      </c>
      <c r="M10" s="1">
        <v>8.64</v>
      </c>
      <c r="N10" s="1">
        <v>5.3369126000000007</v>
      </c>
      <c r="O10" s="1">
        <v>3.5046007000000001</v>
      </c>
      <c r="P10" s="1">
        <v>0.94217060000000008</v>
      </c>
      <c r="Q10" s="1">
        <v>0.5697085999999999</v>
      </c>
      <c r="R10" s="17">
        <v>44.25455603967967</v>
      </c>
      <c r="S10" s="17">
        <v>23.180415334713746</v>
      </c>
      <c r="T10" s="17">
        <v>16.871408616799197</v>
      </c>
      <c r="U10" s="17">
        <v>4.2027320881667265</v>
      </c>
      <c r="V10" s="17">
        <v>11.090198973106167</v>
      </c>
    </row>
    <row r="11" spans="1:22" x14ac:dyDescent="0.3">
      <c r="A11" s="1" t="s">
        <v>263</v>
      </c>
      <c r="B11" s="1" t="s">
        <v>68</v>
      </c>
      <c r="C11" s="1" t="s">
        <v>20</v>
      </c>
      <c r="D11" s="1">
        <v>2</v>
      </c>
      <c r="E11" s="1" t="s">
        <v>83</v>
      </c>
      <c r="F11" s="1">
        <v>0</v>
      </c>
      <c r="G11" s="1" t="s">
        <v>181</v>
      </c>
      <c r="H11" s="17">
        <v>67.2</v>
      </c>
      <c r="I11" s="17">
        <v>77.233804914370822</v>
      </c>
      <c r="J11" s="42">
        <v>3.6766053169734101</v>
      </c>
      <c r="K11" s="17">
        <v>5.1636223757480444</v>
      </c>
      <c r="L11" s="42">
        <v>9.2938566173414277</v>
      </c>
      <c r="M11" s="1">
        <v>8.51</v>
      </c>
      <c r="N11" s="1">
        <v>5.7946133</v>
      </c>
      <c r="O11" s="1">
        <v>3.9305212000000003</v>
      </c>
      <c r="P11" s="1">
        <v>0.99038530000000002</v>
      </c>
      <c r="Q11" s="1">
        <v>0.59438950000000002</v>
      </c>
      <c r="R11" s="17">
        <v>48.184502604929676</v>
      </c>
      <c r="S11" s="17">
        <v>24.991375124852372</v>
      </c>
      <c r="T11" s="17">
        <v>18.447071041248279</v>
      </c>
      <c r="U11" s="17">
        <v>4.7460564388290267</v>
      </c>
      <c r="V11" s="17">
        <v>12.630407347529241</v>
      </c>
    </row>
    <row r="12" spans="1:22" x14ac:dyDescent="0.3">
      <c r="A12" s="1" t="s">
        <v>263</v>
      </c>
      <c r="B12" s="1" t="s">
        <v>68</v>
      </c>
      <c r="C12" s="1" t="s">
        <v>37</v>
      </c>
      <c r="D12" s="1">
        <v>1</v>
      </c>
      <c r="E12" s="1" t="s">
        <v>91</v>
      </c>
      <c r="F12" s="1">
        <v>0</v>
      </c>
      <c r="G12" s="1" t="s">
        <v>182</v>
      </c>
      <c r="H12" s="17">
        <v>67</v>
      </c>
      <c r="I12" s="17">
        <v>77.81</v>
      </c>
      <c r="J12" s="42">
        <v>3.6547670961347869</v>
      </c>
      <c r="K12" s="17">
        <v>5.1801885834393868</v>
      </c>
      <c r="L12" s="42">
        <v>9.5338842956537437</v>
      </c>
      <c r="M12" s="1">
        <v>8.59</v>
      </c>
      <c r="N12" s="1">
        <v>5.0885243000000004</v>
      </c>
      <c r="O12" s="1">
        <v>3.5539512999999996</v>
      </c>
      <c r="P12" s="1">
        <v>0.87628200000000001</v>
      </c>
      <c r="Q12" s="1">
        <v>0.59864030000000001</v>
      </c>
      <c r="R12" s="17">
        <v>49.360230778889111</v>
      </c>
      <c r="S12" s="17">
        <v>25.942280547625042</v>
      </c>
      <c r="T12" s="17">
        <v>19.346077589509754</v>
      </c>
      <c r="U12" s="17">
        <v>4.0718726417543163</v>
      </c>
      <c r="V12" s="17">
        <v>11.418825286131895</v>
      </c>
    </row>
    <row r="13" spans="1:22" x14ac:dyDescent="0.3">
      <c r="A13" s="1" t="s">
        <v>263</v>
      </c>
      <c r="B13" s="1" t="s">
        <v>68</v>
      </c>
      <c r="C13" s="1" t="s">
        <v>37</v>
      </c>
      <c r="D13" s="1">
        <v>2</v>
      </c>
      <c r="E13" s="1" t="s">
        <v>99</v>
      </c>
      <c r="F13" s="1">
        <v>0</v>
      </c>
      <c r="G13" s="1" t="s">
        <v>183</v>
      </c>
      <c r="H13" s="17">
        <v>61.9</v>
      </c>
      <c r="I13" s="17">
        <v>76.420000000000016</v>
      </c>
      <c r="J13" s="42">
        <v>3.8160869565217395</v>
      </c>
      <c r="K13" s="17">
        <v>5.3411578300245157</v>
      </c>
      <c r="L13" s="42">
        <v>9.5316929593923483</v>
      </c>
      <c r="M13" s="1">
        <v>8.6199999999999992</v>
      </c>
      <c r="N13" s="1">
        <v>5.1904127000000004</v>
      </c>
      <c r="O13" s="1">
        <v>3.4399598999999998</v>
      </c>
      <c r="P13" s="1">
        <v>0.84399429999999998</v>
      </c>
      <c r="Q13" s="1">
        <v>0.55140880000000003</v>
      </c>
      <c r="R13" s="17">
        <v>43.763714389416279</v>
      </c>
      <c r="S13" s="17">
        <v>23.130327135078499</v>
      </c>
      <c r="T13" s="17">
        <v>16.833737761008869</v>
      </c>
      <c r="U13" s="17">
        <v>3.7996494933289107</v>
      </c>
      <c r="V13" s="17">
        <v>12.522414991321277</v>
      </c>
    </row>
    <row r="14" spans="1:22" x14ac:dyDescent="0.3">
      <c r="A14" s="1" t="s">
        <v>263</v>
      </c>
      <c r="B14" s="1" t="s">
        <v>68</v>
      </c>
      <c r="C14" s="1" t="s">
        <v>54</v>
      </c>
      <c r="D14" s="1">
        <v>1</v>
      </c>
      <c r="E14" s="1" t="s">
        <v>185</v>
      </c>
      <c r="F14" s="1">
        <v>0</v>
      </c>
      <c r="G14" s="1" t="s">
        <v>184</v>
      </c>
      <c r="H14" s="17">
        <v>72.299482982664699</v>
      </c>
      <c r="I14" s="17">
        <v>75.666029318036948</v>
      </c>
      <c r="J14" s="42">
        <v>4.2112035516152782</v>
      </c>
      <c r="K14" s="17">
        <v>5.316160959651036</v>
      </c>
      <c r="L14" s="42">
        <v>6.9059838002234866</v>
      </c>
      <c r="M14" s="1">
        <v>7.17</v>
      </c>
      <c r="N14" s="1">
        <v>12.574059399999999</v>
      </c>
      <c r="O14" s="1">
        <v>8.3647925000000001</v>
      </c>
      <c r="P14" s="1">
        <v>2.7148504</v>
      </c>
      <c r="Q14" s="1">
        <v>0.84081629999999996</v>
      </c>
      <c r="R14" s="17">
        <v>33.962743814539785</v>
      </c>
      <c r="S14" s="17">
        <v>20.441530007873702</v>
      </c>
      <c r="T14" s="17">
        <v>9.8423628163068191</v>
      </c>
      <c r="U14" s="17">
        <v>3.6788509903592659</v>
      </c>
      <c r="V14" s="17">
        <v>13.793743673002098</v>
      </c>
    </row>
    <row r="15" spans="1:22" x14ac:dyDescent="0.3">
      <c r="A15" s="1" t="s">
        <v>263</v>
      </c>
      <c r="B15" s="1" t="s">
        <v>68</v>
      </c>
      <c r="C15" s="1" t="s">
        <v>54</v>
      </c>
      <c r="D15" s="1">
        <v>2</v>
      </c>
      <c r="E15" s="1" t="s">
        <v>187</v>
      </c>
      <c r="F15" s="1">
        <v>0</v>
      </c>
      <c r="G15" s="1" t="s">
        <v>186</v>
      </c>
      <c r="H15" s="17">
        <v>70.240041297427496</v>
      </c>
      <c r="I15" s="17">
        <v>75.796568627450981</v>
      </c>
      <c r="J15" s="42">
        <v>4.0099986516152786</v>
      </c>
      <c r="K15" s="17">
        <v>5.5389506674405098</v>
      </c>
      <c r="L15" s="42">
        <v>9.5559500989076955</v>
      </c>
      <c r="M15" s="1">
        <v>7.25</v>
      </c>
      <c r="N15" s="1">
        <v>10.918703600000001</v>
      </c>
      <c r="O15" s="1">
        <v>6.5776873</v>
      </c>
      <c r="P15" s="1">
        <v>2.6154714000000001</v>
      </c>
      <c r="Q15" s="1">
        <v>1.0226280000000001</v>
      </c>
      <c r="R15" s="17">
        <v>37.182352873527407</v>
      </c>
      <c r="S15" s="17">
        <v>19.2246753501664</v>
      </c>
      <c r="T15" s="17">
        <v>14.034254891219222</v>
      </c>
      <c r="U15" s="17">
        <v>3.9234226321417847</v>
      </c>
      <c r="V15" s="17">
        <v>13.674140149955589</v>
      </c>
    </row>
    <row r="16" spans="1:22" x14ac:dyDescent="0.3">
      <c r="A16" s="1" t="s">
        <v>263</v>
      </c>
      <c r="B16" s="1" t="s">
        <v>68</v>
      </c>
      <c r="C16" s="1" t="s">
        <v>61</v>
      </c>
      <c r="D16" s="1">
        <v>1</v>
      </c>
      <c r="E16" s="1" t="s">
        <v>189</v>
      </c>
      <c r="F16" s="1">
        <v>0</v>
      </c>
      <c r="G16" s="1" t="s">
        <v>188</v>
      </c>
      <c r="H16" s="17">
        <v>69.134246863023094</v>
      </c>
      <c r="I16" s="17">
        <v>76.047995139732691</v>
      </c>
      <c r="J16" s="42">
        <v>4.4254126516152779</v>
      </c>
      <c r="K16" s="17">
        <v>5.3598785766691117</v>
      </c>
      <c r="L16" s="42">
        <v>5.840412031586462</v>
      </c>
      <c r="M16" s="1">
        <v>7.1</v>
      </c>
      <c r="N16" s="1">
        <v>12.020690099999999</v>
      </c>
      <c r="O16" s="1">
        <v>8.3690222999999992</v>
      </c>
      <c r="P16" s="1">
        <v>2.0286743</v>
      </c>
      <c r="Q16" s="1">
        <v>0.93900910000000004</v>
      </c>
      <c r="R16" s="17">
        <v>34.939959712943278</v>
      </c>
      <c r="S16" s="17">
        <v>20.148326723377444</v>
      </c>
      <c r="T16" s="17">
        <v>11.042408438338635</v>
      </c>
      <c r="U16" s="17">
        <v>3.7492245512271976</v>
      </c>
      <c r="V16" s="17">
        <v>11.76504465096431</v>
      </c>
    </row>
    <row r="17" spans="1:22" x14ac:dyDescent="0.3">
      <c r="A17" s="1" t="s">
        <v>263</v>
      </c>
      <c r="B17" s="1" t="s">
        <v>68</v>
      </c>
      <c r="C17" s="1" t="s">
        <v>61</v>
      </c>
      <c r="D17" s="1">
        <v>2</v>
      </c>
      <c r="E17" s="1" t="s">
        <v>191</v>
      </c>
      <c r="F17" s="1">
        <v>0</v>
      </c>
      <c r="G17" s="1" t="s">
        <v>190</v>
      </c>
      <c r="H17" s="17">
        <v>74.965866195486299</v>
      </c>
      <c r="I17" s="17">
        <v>77.171003319413217</v>
      </c>
      <c r="J17" s="42">
        <v>4.0091356516152779</v>
      </c>
      <c r="K17" s="17">
        <v>5.3362916218293623</v>
      </c>
      <c r="L17" s="42">
        <v>8.2947248138380285</v>
      </c>
      <c r="M17" s="1">
        <v>7.11</v>
      </c>
      <c r="N17" s="1">
        <v>9.4296357999999998</v>
      </c>
      <c r="O17" s="1">
        <v>6.1179164999999998</v>
      </c>
      <c r="P17" s="1">
        <v>2.0149401</v>
      </c>
      <c r="Q17" s="1">
        <v>0.94049240000000001</v>
      </c>
      <c r="R17" s="17">
        <v>40.952644087561907</v>
      </c>
      <c r="S17" s="17">
        <v>21.382730249666889</v>
      </c>
      <c r="T17" s="17">
        <v>16.090502010404464</v>
      </c>
      <c r="U17" s="17">
        <v>3.4794118274905497</v>
      </c>
      <c r="V17" s="17">
        <v>11.729391968598797</v>
      </c>
    </row>
    <row r="18" spans="1:22" x14ac:dyDescent="0.3">
      <c r="A18" s="1" t="s">
        <v>263</v>
      </c>
      <c r="B18" s="1" t="s">
        <v>113</v>
      </c>
      <c r="C18" s="1" t="s">
        <v>20</v>
      </c>
      <c r="D18" s="1">
        <v>1</v>
      </c>
      <c r="E18" s="1" t="s">
        <v>120</v>
      </c>
      <c r="F18" s="1">
        <v>0</v>
      </c>
      <c r="G18" s="1" t="s">
        <v>192</v>
      </c>
      <c r="H18" s="17">
        <v>63.4</v>
      </c>
      <c r="I18" s="17">
        <v>77.055329790559597</v>
      </c>
      <c r="J18" s="42">
        <v>3.8352380952380951</v>
      </c>
      <c r="K18" s="17">
        <v>5.523319863288906</v>
      </c>
      <c r="L18" s="42">
        <v>10.550511050317565</v>
      </c>
      <c r="M18" s="1">
        <v>8.64</v>
      </c>
      <c r="N18" s="1">
        <v>5.3369125999999998</v>
      </c>
      <c r="O18" s="1">
        <v>3.5046007000000001</v>
      </c>
      <c r="P18" s="1">
        <v>0.94217059999999997</v>
      </c>
      <c r="Q18" s="1">
        <v>0.56970860000000001</v>
      </c>
      <c r="R18" s="17">
        <v>44.25455603967967</v>
      </c>
      <c r="S18" s="17">
        <v>23.180415334713746</v>
      </c>
      <c r="T18" s="17">
        <v>16.871408616799197</v>
      </c>
      <c r="U18" s="17">
        <v>4.2027320881667265</v>
      </c>
      <c r="V18" s="17">
        <v>11.090198973106167</v>
      </c>
    </row>
    <row r="19" spans="1:22" x14ac:dyDescent="0.3">
      <c r="A19" s="1" t="s">
        <v>263</v>
      </c>
      <c r="B19" s="1" t="s">
        <v>113</v>
      </c>
      <c r="C19" s="1" t="s">
        <v>20</v>
      </c>
      <c r="D19" s="1">
        <v>2</v>
      </c>
      <c r="E19" s="1" t="s">
        <v>128</v>
      </c>
      <c r="F19" s="1">
        <v>0</v>
      </c>
      <c r="G19" s="1" t="s">
        <v>193</v>
      </c>
      <c r="H19" s="17">
        <v>67.2</v>
      </c>
      <c r="I19" s="17">
        <v>77.233804914370822</v>
      </c>
      <c r="J19" s="42">
        <v>3.676605316973415</v>
      </c>
      <c r="K19" s="17">
        <v>5.1636223757480444</v>
      </c>
      <c r="L19" s="42">
        <v>9.2938566173414277</v>
      </c>
      <c r="M19" s="1">
        <v>8.51</v>
      </c>
      <c r="N19" s="1">
        <v>5.7946133</v>
      </c>
      <c r="O19" s="1">
        <v>3.9305211999999998</v>
      </c>
      <c r="P19" s="1">
        <v>0.99038530000000002</v>
      </c>
      <c r="Q19" s="1">
        <v>0.59438950000000002</v>
      </c>
      <c r="R19" s="17">
        <v>48.184502604929676</v>
      </c>
      <c r="S19" s="17">
        <v>24.991375124852372</v>
      </c>
      <c r="T19" s="17">
        <v>18.447071041248279</v>
      </c>
      <c r="U19" s="17">
        <v>4.7460564388290267</v>
      </c>
      <c r="V19" s="17">
        <v>12.630407347529241</v>
      </c>
    </row>
    <row r="20" spans="1:22" x14ac:dyDescent="0.3">
      <c r="A20" s="1" t="s">
        <v>263</v>
      </c>
      <c r="B20" s="1" t="s">
        <v>113</v>
      </c>
      <c r="C20" s="1" t="s">
        <v>37</v>
      </c>
      <c r="D20" s="1">
        <v>1</v>
      </c>
      <c r="E20" s="1" t="s">
        <v>136</v>
      </c>
      <c r="F20" s="1">
        <v>0</v>
      </c>
      <c r="G20" s="1" t="s">
        <v>194</v>
      </c>
      <c r="H20" s="17">
        <v>67</v>
      </c>
      <c r="I20" s="17">
        <v>77.81</v>
      </c>
      <c r="J20" s="42">
        <v>3.6547670961347869</v>
      </c>
      <c r="K20" s="17">
        <v>5.1801885834393868</v>
      </c>
      <c r="L20" s="42">
        <v>9.5338842956537437</v>
      </c>
      <c r="M20" s="1">
        <v>8.59</v>
      </c>
      <c r="N20" s="1">
        <v>5.0885242999999996</v>
      </c>
      <c r="O20" s="1">
        <v>3.5539513</v>
      </c>
      <c r="P20" s="1">
        <v>0.87628200000000001</v>
      </c>
      <c r="Q20" s="1">
        <v>0.59864030000000001</v>
      </c>
      <c r="R20" s="17">
        <v>49.360230778889111</v>
      </c>
      <c r="S20" s="17">
        <v>25.942280547625042</v>
      </c>
      <c r="T20" s="17">
        <v>19.346077589509754</v>
      </c>
      <c r="U20" s="17">
        <v>4.0718726417543163</v>
      </c>
      <c r="V20" s="17">
        <v>11.418825286131895</v>
      </c>
    </row>
    <row r="21" spans="1:22" x14ac:dyDescent="0.3">
      <c r="A21" s="1" t="s">
        <v>263</v>
      </c>
      <c r="B21" s="1" t="s">
        <v>113</v>
      </c>
      <c r="C21" s="1" t="s">
        <v>37</v>
      </c>
      <c r="D21" s="1">
        <v>2</v>
      </c>
      <c r="E21" s="1" t="s">
        <v>144</v>
      </c>
      <c r="F21" s="1">
        <v>0</v>
      </c>
      <c r="G21" s="1" t="s">
        <v>195</v>
      </c>
      <c r="H21" s="17">
        <v>61.9</v>
      </c>
      <c r="I21" s="17">
        <v>76.420000000000016</v>
      </c>
      <c r="J21" s="42">
        <v>3.8160869565217395</v>
      </c>
      <c r="K21" s="17">
        <v>5.3411578300245157</v>
      </c>
      <c r="L21" s="42">
        <v>9.5316929593923483</v>
      </c>
      <c r="M21" s="1">
        <v>8.6199999999999992</v>
      </c>
      <c r="N21" s="1">
        <v>5.1904127000000004</v>
      </c>
      <c r="O21" s="1">
        <v>3.4399598999999998</v>
      </c>
      <c r="P21" s="1">
        <v>0.84399429999999998</v>
      </c>
      <c r="Q21" s="1">
        <v>0.55140880000000003</v>
      </c>
      <c r="R21" s="17">
        <v>43.763714389416279</v>
      </c>
      <c r="S21" s="17">
        <v>23.130327135078499</v>
      </c>
      <c r="T21" s="17">
        <v>16.833737761008869</v>
      </c>
      <c r="U21" s="17">
        <v>3.7996494933289107</v>
      </c>
      <c r="V21" s="17">
        <v>12.522414991321277</v>
      </c>
    </row>
    <row r="22" spans="1:22" x14ac:dyDescent="0.3">
      <c r="A22" s="1" t="s">
        <v>263</v>
      </c>
      <c r="B22" s="1" t="s">
        <v>113</v>
      </c>
      <c r="C22" s="1" t="s">
        <v>54</v>
      </c>
      <c r="D22" s="1">
        <v>1</v>
      </c>
      <c r="E22" s="1" t="s">
        <v>197</v>
      </c>
      <c r="F22" s="1">
        <v>0</v>
      </c>
      <c r="G22" s="1" t="s">
        <v>196</v>
      </c>
      <c r="H22" s="17">
        <v>72.299482982664699</v>
      </c>
      <c r="I22" s="17">
        <v>75.666029318036948</v>
      </c>
      <c r="J22" s="42">
        <v>4.2112035516152782</v>
      </c>
      <c r="K22" s="17">
        <v>5.316160959651036</v>
      </c>
      <c r="L22" s="42">
        <v>6.9059838002234866</v>
      </c>
      <c r="M22" s="1">
        <v>7.17</v>
      </c>
      <c r="N22" s="1">
        <v>12.574059399999999</v>
      </c>
      <c r="O22" s="1">
        <v>8.3647925000000001</v>
      </c>
      <c r="P22" s="1">
        <v>2.7148504</v>
      </c>
      <c r="Q22" s="1">
        <v>0.84081629999999996</v>
      </c>
      <c r="R22" s="17">
        <v>33.962743814539785</v>
      </c>
      <c r="S22" s="17">
        <v>20.441530007873702</v>
      </c>
      <c r="T22" s="17">
        <v>9.8423628163068191</v>
      </c>
      <c r="U22" s="17">
        <v>3.6788509903592659</v>
      </c>
      <c r="V22" s="17">
        <v>13.793743673002098</v>
      </c>
    </row>
    <row r="23" spans="1:22" x14ac:dyDescent="0.3">
      <c r="A23" s="1" t="s">
        <v>263</v>
      </c>
      <c r="B23" s="1" t="s">
        <v>113</v>
      </c>
      <c r="C23" s="1" t="s">
        <v>54</v>
      </c>
      <c r="D23" s="1">
        <v>2</v>
      </c>
      <c r="E23" s="1" t="s">
        <v>199</v>
      </c>
      <c r="F23" s="1">
        <v>0</v>
      </c>
      <c r="G23" s="1" t="s">
        <v>198</v>
      </c>
      <c r="H23" s="17">
        <v>70.240041297427496</v>
      </c>
      <c r="I23" s="17">
        <v>75.796568627450981</v>
      </c>
      <c r="J23" s="42">
        <v>4.0099986516152786</v>
      </c>
      <c r="K23" s="17">
        <v>5.5389506674405098</v>
      </c>
      <c r="L23" s="42">
        <v>9.5559500989076955</v>
      </c>
      <c r="M23" s="1">
        <v>7.25</v>
      </c>
      <c r="N23" s="1">
        <v>10.918703600000001</v>
      </c>
      <c r="O23" s="1">
        <v>6.5776873</v>
      </c>
      <c r="P23" s="1">
        <v>2.6154714000000001</v>
      </c>
      <c r="Q23" s="1">
        <v>1.0226280000000001</v>
      </c>
      <c r="R23" s="17">
        <v>37.182352873527407</v>
      </c>
      <c r="S23" s="17">
        <v>19.2246753501664</v>
      </c>
      <c r="T23" s="17">
        <v>14.034254891219222</v>
      </c>
      <c r="U23" s="17">
        <v>3.9234226321417847</v>
      </c>
      <c r="V23" s="17">
        <v>13.674140149955589</v>
      </c>
    </row>
    <row r="24" spans="1:22" x14ac:dyDescent="0.3">
      <c r="A24" s="1" t="s">
        <v>263</v>
      </c>
      <c r="B24" s="1" t="s">
        <v>113</v>
      </c>
      <c r="C24" s="1" t="s">
        <v>61</v>
      </c>
      <c r="D24" s="1">
        <v>1</v>
      </c>
      <c r="E24" s="1" t="s">
        <v>201</v>
      </c>
      <c r="F24" s="1">
        <v>0</v>
      </c>
      <c r="G24" s="1" t="s">
        <v>200</v>
      </c>
      <c r="H24" s="17">
        <v>69.134246863023094</v>
      </c>
      <c r="I24" s="17">
        <v>76.047995139732691</v>
      </c>
      <c r="J24" s="42">
        <v>4.4254126516152779</v>
      </c>
      <c r="K24" s="17">
        <v>5.3598785766691117</v>
      </c>
      <c r="L24" s="42">
        <v>5.840412031586462</v>
      </c>
      <c r="M24" s="1">
        <v>7.1</v>
      </c>
      <c r="N24" s="1">
        <v>12.020690099999999</v>
      </c>
      <c r="O24" s="1">
        <v>8.3690222999999992</v>
      </c>
      <c r="P24" s="1">
        <v>2.0286743</v>
      </c>
      <c r="Q24" s="1">
        <v>0.93900910000000004</v>
      </c>
      <c r="R24" s="17">
        <v>34.939959712943278</v>
      </c>
      <c r="S24" s="17">
        <v>20.148326723377444</v>
      </c>
      <c r="T24" s="17">
        <v>11.042408438338635</v>
      </c>
      <c r="U24" s="17">
        <v>3.7492245512271976</v>
      </c>
      <c r="V24" s="17">
        <v>11.76504465096431</v>
      </c>
    </row>
    <row r="25" spans="1:22" x14ac:dyDescent="0.3">
      <c r="A25" s="1" t="s">
        <v>263</v>
      </c>
      <c r="B25" s="1" t="s">
        <v>113</v>
      </c>
      <c r="C25" s="1" t="s">
        <v>61</v>
      </c>
      <c r="D25" s="1">
        <v>2</v>
      </c>
      <c r="E25" s="1" t="s">
        <v>203</v>
      </c>
      <c r="F25" s="1">
        <v>0</v>
      </c>
      <c r="G25" s="1" t="s">
        <v>202</v>
      </c>
      <c r="H25" s="17">
        <v>74.965866195486299</v>
      </c>
      <c r="I25" s="17">
        <v>77.171003319413217</v>
      </c>
      <c r="J25" s="42">
        <v>4.0091356516152779</v>
      </c>
      <c r="K25" s="17">
        <v>5.3362916218293623</v>
      </c>
      <c r="L25" s="42">
        <v>8.2947248138380285</v>
      </c>
      <c r="M25" s="1">
        <v>7.11</v>
      </c>
      <c r="N25" s="1">
        <v>9.4296357999999998</v>
      </c>
      <c r="O25" s="1">
        <v>6.1179164999999998</v>
      </c>
      <c r="P25" s="1">
        <v>2.0149401</v>
      </c>
      <c r="Q25" s="1">
        <v>0.94049240000000001</v>
      </c>
      <c r="R25" s="17">
        <v>40.952644087561907</v>
      </c>
      <c r="S25" s="17">
        <v>21.382730249666889</v>
      </c>
      <c r="T25" s="17">
        <v>16.090502010404464</v>
      </c>
      <c r="U25" s="17">
        <v>3.4794118274905497</v>
      </c>
      <c r="V25" s="17">
        <v>11.729391968598797</v>
      </c>
    </row>
    <row r="26" spans="1:22" x14ac:dyDescent="0.3">
      <c r="A26" s="1" t="s">
        <v>263</v>
      </c>
      <c r="B26" s="1" t="s">
        <v>19</v>
      </c>
      <c r="C26" s="1" t="s">
        <v>20</v>
      </c>
      <c r="D26" s="1">
        <v>1</v>
      </c>
      <c r="E26" s="1" t="s">
        <v>21</v>
      </c>
      <c r="F26" s="1">
        <v>14</v>
      </c>
      <c r="G26" s="1" t="s">
        <v>204</v>
      </c>
      <c r="H26" s="17">
        <v>61.116647039284999</v>
      </c>
      <c r="I26" s="17">
        <v>77.021452145214582</v>
      </c>
      <c r="J26" s="42">
        <v>3.6066756026570168</v>
      </c>
      <c r="K26" s="17">
        <v>4.8650428916564206</v>
      </c>
      <c r="L26" s="42">
        <v>7.864795556246273</v>
      </c>
      <c r="M26" s="1">
        <v>7.58</v>
      </c>
      <c r="N26" s="1">
        <v>8.3796362999999996</v>
      </c>
      <c r="O26" s="1">
        <v>5.4972452000000001</v>
      </c>
      <c r="P26" s="1">
        <v>1.6058527</v>
      </c>
      <c r="Q26" s="1">
        <v>0.56729839999999998</v>
      </c>
      <c r="R26" s="17">
        <v>44.431834940238431</v>
      </c>
      <c r="S26" s="17">
        <v>24.701014150801758</v>
      </c>
      <c r="T26" s="17">
        <v>15.142183853776366</v>
      </c>
      <c r="U26" s="17">
        <v>4.5886369356603005</v>
      </c>
      <c r="V26" s="17">
        <v>11.356537347485972</v>
      </c>
    </row>
    <row r="27" spans="1:22" x14ac:dyDescent="0.3">
      <c r="A27" s="1" t="s">
        <v>263</v>
      </c>
      <c r="B27" s="1" t="s">
        <v>19</v>
      </c>
      <c r="C27" s="1" t="s">
        <v>20</v>
      </c>
      <c r="D27" s="1">
        <v>2</v>
      </c>
      <c r="E27" s="1" t="s">
        <v>29</v>
      </c>
      <c r="F27" s="1">
        <v>14</v>
      </c>
      <c r="G27" s="1" t="s">
        <v>205</v>
      </c>
      <c r="H27" s="17">
        <v>59.0646382060485</v>
      </c>
      <c r="I27" s="17">
        <v>76.404751027866553</v>
      </c>
      <c r="J27" s="42">
        <v>3.5299696026570166</v>
      </c>
      <c r="K27" s="17">
        <v>4.6975448916564204</v>
      </c>
      <c r="L27" s="42">
        <v>7.2973455562462739</v>
      </c>
      <c r="M27" s="1">
        <v>7.67</v>
      </c>
      <c r="N27" s="1">
        <v>8.3582497999999994</v>
      </c>
      <c r="O27" s="1">
        <v>5.4487557000000004</v>
      </c>
      <c r="P27" s="1">
        <v>1.5101003</v>
      </c>
      <c r="Q27" s="1">
        <v>0.61031690000000005</v>
      </c>
      <c r="R27" s="17">
        <v>54.736836683104137</v>
      </c>
      <c r="S27" s="17">
        <v>30.861040055330133</v>
      </c>
      <c r="T27" s="17">
        <v>18.073822802898594</v>
      </c>
      <c r="U27" s="17">
        <v>5.8019738248754109</v>
      </c>
      <c r="V27" s="17">
        <v>11.134263250738382</v>
      </c>
    </row>
    <row r="28" spans="1:22" x14ac:dyDescent="0.3">
      <c r="A28" s="1" t="s">
        <v>263</v>
      </c>
      <c r="B28" s="1" t="s">
        <v>19</v>
      </c>
      <c r="C28" s="1" t="s">
        <v>37</v>
      </c>
      <c r="D28" s="1">
        <v>1</v>
      </c>
      <c r="E28" s="1" t="s">
        <v>38</v>
      </c>
      <c r="F28" s="1">
        <v>14</v>
      </c>
      <c r="G28" s="1" t="s">
        <v>206</v>
      </c>
      <c r="H28" s="17">
        <v>60.051072522982601</v>
      </c>
      <c r="I28" s="17">
        <v>78.899637243047096</v>
      </c>
      <c r="J28" s="42">
        <v>3.5188836026570165</v>
      </c>
      <c r="K28" s="17">
        <v>4.8911438916564194</v>
      </c>
      <c r="L28" s="42">
        <v>8.5766268062462672</v>
      </c>
      <c r="M28" s="1">
        <v>7.62</v>
      </c>
      <c r="N28" s="1">
        <v>9.0547591999999995</v>
      </c>
      <c r="O28" s="1">
        <v>6.0898668000000002</v>
      </c>
      <c r="P28" s="1">
        <v>1.7341485000000001</v>
      </c>
      <c r="Q28" s="1">
        <v>0.597715</v>
      </c>
      <c r="R28" s="17">
        <v>48.128565442425987</v>
      </c>
      <c r="S28" s="17">
        <v>26.502532928508288</v>
      </c>
      <c r="T28" s="17">
        <v>16.743413036535028</v>
      </c>
      <c r="U28" s="17">
        <v>4.8826194773826712</v>
      </c>
      <c r="V28" s="17">
        <v>12.19609216560597</v>
      </c>
    </row>
    <row r="29" spans="1:22" x14ac:dyDescent="0.3">
      <c r="A29" s="1" t="s">
        <v>263</v>
      </c>
      <c r="B29" s="1" t="s">
        <v>19</v>
      </c>
      <c r="C29" s="1" t="s">
        <v>37</v>
      </c>
      <c r="D29" s="1">
        <v>2</v>
      </c>
      <c r="E29" s="1" t="s">
        <v>46</v>
      </c>
      <c r="F29" s="1">
        <v>14</v>
      </c>
      <c r="G29" s="1" t="s">
        <v>207</v>
      </c>
      <c r="H29" s="17">
        <v>60.269514698816202</v>
      </c>
      <c r="I29" s="17">
        <v>77.45892154593848</v>
      </c>
      <c r="J29" s="42">
        <v>3.5498896026570166</v>
      </c>
      <c r="K29" s="17">
        <v>4.8096358916564199</v>
      </c>
      <c r="L29" s="42">
        <v>7.8734143062462705</v>
      </c>
      <c r="M29" s="1">
        <v>7.54</v>
      </c>
      <c r="N29" s="1">
        <v>8.7316909999999996</v>
      </c>
      <c r="O29" s="1">
        <v>5.6863944000000002</v>
      </c>
      <c r="P29" s="1">
        <v>1.6550818</v>
      </c>
      <c r="Q29" s="1">
        <v>0.51824079999999995</v>
      </c>
      <c r="R29" s="17">
        <v>43.206975940582723</v>
      </c>
      <c r="S29" s="17">
        <v>24.104193471297261</v>
      </c>
      <c r="T29" s="17">
        <v>14.617400055939067</v>
      </c>
      <c r="U29" s="17">
        <v>4.4853824133463949</v>
      </c>
      <c r="V29" s="17">
        <v>11.120827532162007</v>
      </c>
    </row>
    <row r="30" spans="1:22" x14ac:dyDescent="0.3">
      <c r="A30" s="1" t="s">
        <v>263</v>
      </c>
      <c r="B30" s="1" t="s">
        <v>68</v>
      </c>
      <c r="C30" s="1" t="s">
        <v>20</v>
      </c>
      <c r="D30" s="1">
        <v>1</v>
      </c>
      <c r="E30" s="1" t="s">
        <v>69</v>
      </c>
      <c r="F30" s="1">
        <v>14</v>
      </c>
      <c r="G30" s="1" t="s">
        <v>208</v>
      </c>
      <c r="H30" s="17">
        <v>57.389581790731903</v>
      </c>
      <c r="I30" s="17">
        <v>74.061662198391389</v>
      </c>
      <c r="J30" s="42">
        <v>3.7316576026570165</v>
      </c>
      <c r="K30" s="17">
        <v>5.0869568916564196</v>
      </c>
      <c r="L30" s="42">
        <v>8.4706205562462689</v>
      </c>
      <c r="M30" s="1">
        <v>7.55</v>
      </c>
      <c r="N30" s="1">
        <v>11.3215477</v>
      </c>
      <c r="O30" s="1">
        <v>8.8144352999999995</v>
      </c>
      <c r="P30" s="1">
        <v>2.2937352</v>
      </c>
      <c r="Q30" s="1">
        <v>0.21337719999999999</v>
      </c>
      <c r="R30" s="17">
        <v>40.734583844513224</v>
      </c>
      <c r="S30" s="17">
        <v>24.879043023609803</v>
      </c>
      <c r="T30" s="17">
        <v>11.709992002578698</v>
      </c>
      <c r="U30" s="17">
        <v>4.145548818324726</v>
      </c>
      <c r="V30" s="17">
        <v>11.92626796562922</v>
      </c>
    </row>
    <row r="31" spans="1:22" x14ac:dyDescent="0.3">
      <c r="A31" s="1" t="s">
        <v>263</v>
      </c>
      <c r="B31" s="1" t="s">
        <v>68</v>
      </c>
      <c r="C31" s="1" t="s">
        <v>20</v>
      </c>
      <c r="D31" s="1">
        <v>2</v>
      </c>
      <c r="E31" s="1" t="s">
        <v>77</v>
      </c>
      <c r="F31" s="1">
        <v>14</v>
      </c>
      <c r="G31" s="1" t="s">
        <v>209</v>
      </c>
      <c r="H31" s="17">
        <v>55.043343927422299</v>
      </c>
      <c r="I31" s="17">
        <v>73.257061136932364</v>
      </c>
      <c r="J31" s="42">
        <v>3.7260106026570168</v>
      </c>
      <c r="K31" s="17">
        <v>5.0272818916564201</v>
      </c>
      <c r="L31" s="42">
        <v>8.1329455562462716</v>
      </c>
      <c r="M31" s="1">
        <v>7.34</v>
      </c>
      <c r="N31" s="1">
        <v>11.6810025</v>
      </c>
      <c r="O31" s="1">
        <v>9.1036839000000001</v>
      </c>
      <c r="P31" s="1">
        <v>2.3747362000000001</v>
      </c>
      <c r="Q31" s="1">
        <v>0.2025824</v>
      </c>
      <c r="R31" s="17">
        <v>39.180170132215707</v>
      </c>
      <c r="S31" s="17">
        <v>22.294993451858907</v>
      </c>
      <c r="T31" s="17">
        <v>12.211925271993042</v>
      </c>
      <c r="U31" s="17">
        <v>4.6732514083637504</v>
      </c>
      <c r="V31" s="17">
        <v>10.891724788912649</v>
      </c>
    </row>
    <row r="32" spans="1:22" x14ac:dyDescent="0.3">
      <c r="A32" s="1" t="s">
        <v>263</v>
      </c>
      <c r="B32" s="1" t="s">
        <v>68</v>
      </c>
      <c r="C32" s="1" t="s">
        <v>37</v>
      </c>
      <c r="D32" s="1">
        <v>1</v>
      </c>
      <c r="E32" s="1" t="s">
        <v>85</v>
      </c>
      <c r="F32" s="1">
        <v>14</v>
      </c>
      <c r="G32" s="1" t="s">
        <v>210</v>
      </c>
      <c r="H32" s="17">
        <v>54.5969291810461</v>
      </c>
      <c r="I32" s="17">
        <v>73.088569265707775</v>
      </c>
      <c r="J32" s="42">
        <v>3.9764326026570167</v>
      </c>
      <c r="K32" s="17">
        <v>5.1089738916564205</v>
      </c>
      <c r="L32" s="42">
        <v>7.078383056246274</v>
      </c>
      <c r="M32" s="1">
        <v>7.57</v>
      </c>
      <c r="N32" s="1">
        <v>10.8646531</v>
      </c>
      <c r="O32" s="1">
        <v>8.4866080000000004</v>
      </c>
      <c r="P32" s="1">
        <v>2.1923423</v>
      </c>
      <c r="Q32" s="1">
        <v>0.1857028</v>
      </c>
      <c r="R32" s="17">
        <v>38.683239193277913</v>
      </c>
      <c r="S32" s="17">
        <v>21.634765765558228</v>
      </c>
      <c r="T32" s="17">
        <v>12.487612375391496</v>
      </c>
      <c r="U32" s="17">
        <v>4.5608610523281961</v>
      </c>
      <c r="V32" s="17">
        <v>12.590154074757093</v>
      </c>
    </row>
    <row r="33" spans="1:22" x14ac:dyDescent="0.3">
      <c r="A33" s="1" t="s">
        <v>263</v>
      </c>
      <c r="B33" s="1" t="s">
        <v>68</v>
      </c>
      <c r="C33" s="1" t="s">
        <v>37</v>
      </c>
      <c r="D33" s="1">
        <v>2</v>
      </c>
      <c r="E33" s="1" t="s">
        <v>93</v>
      </c>
      <c r="F33" s="1">
        <v>14</v>
      </c>
      <c r="G33" s="1" t="s">
        <v>211</v>
      </c>
      <c r="H33" s="17">
        <v>58.540885286136501</v>
      </c>
      <c r="I33" s="17">
        <v>74.505462060820705</v>
      </c>
      <c r="J33" s="42">
        <v>3.9386276026570166</v>
      </c>
      <c r="K33" s="17">
        <v>5.0755418916564201</v>
      </c>
      <c r="L33" s="42">
        <v>7.1057143062462718</v>
      </c>
      <c r="M33" s="1">
        <v>7.81</v>
      </c>
      <c r="N33" s="1">
        <v>11.591262800000001</v>
      </c>
      <c r="O33" s="1">
        <v>9.0041277999999991</v>
      </c>
      <c r="P33" s="1">
        <v>2.3846066000000001</v>
      </c>
      <c r="Q33" s="1">
        <v>0.2025284</v>
      </c>
      <c r="R33" s="17">
        <v>42.030781271550779</v>
      </c>
      <c r="S33" s="17">
        <v>24.049626734706376</v>
      </c>
      <c r="T33" s="17">
        <v>13.369504631079014</v>
      </c>
      <c r="U33" s="17">
        <v>4.6116499057653906</v>
      </c>
      <c r="V33" s="17">
        <v>10.072515392699746</v>
      </c>
    </row>
    <row r="34" spans="1:22" x14ac:dyDescent="0.3">
      <c r="A34" s="1" t="s">
        <v>263</v>
      </c>
      <c r="B34" s="1" t="s">
        <v>113</v>
      </c>
      <c r="C34" s="1" t="s">
        <v>20</v>
      </c>
      <c r="D34" s="1">
        <v>1</v>
      </c>
      <c r="E34" s="1" t="s">
        <v>114</v>
      </c>
      <c r="F34" s="1">
        <v>14</v>
      </c>
      <c r="G34" s="1" t="s">
        <v>212</v>
      </c>
      <c r="H34" s="17">
        <v>51.257368556854502</v>
      </c>
      <c r="I34" s="17">
        <v>72.410454985479205</v>
      </c>
      <c r="J34" s="42">
        <v>3.9649226026570168</v>
      </c>
      <c r="K34" s="17">
        <v>5.0430578916564199</v>
      </c>
      <c r="L34" s="42">
        <v>6.7383455562462693</v>
      </c>
      <c r="M34" s="1">
        <v>7.48</v>
      </c>
      <c r="N34" s="1">
        <v>10.952341199999999</v>
      </c>
      <c r="O34" s="1">
        <v>8.5552486999999999</v>
      </c>
      <c r="P34" s="1">
        <v>2.2521312</v>
      </c>
      <c r="Q34" s="1">
        <v>0.14496129999999999</v>
      </c>
      <c r="R34" s="17">
        <v>37.198791865004381</v>
      </c>
      <c r="S34" s="17">
        <v>21.0670568164144</v>
      </c>
      <c r="T34" s="17">
        <v>11.455570411686676</v>
      </c>
      <c r="U34" s="17">
        <v>4.6761646369033052</v>
      </c>
      <c r="V34" s="17">
        <v>12.04180115042686</v>
      </c>
    </row>
    <row r="35" spans="1:22" x14ac:dyDescent="0.3">
      <c r="A35" s="1" t="s">
        <v>263</v>
      </c>
      <c r="B35" s="1" t="s">
        <v>113</v>
      </c>
      <c r="C35" s="1" t="s">
        <v>20</v>
      </c>
      <c r="D35" s="1">
        <v>2</v>
      </c>
      <c r="E35" s="1" t="s">
        <v>122</v>
      </c>
      <c r="F35" s="1">
        <v>14</v>
      </c>
      <c r="G35" s="1" t="s">
        <v>213</v>
      </c>
      <c r="H35" s="17">
        <v>53.154415803329599</v>
      </c>
      <c r="I35" s="17">
        <v>73.13379654373783</v>
      </c>
      <c r="J35" s="42">
        <v>4.0067806026570167</v>
      </c>
      <c r="K35" s="17">
        <v>5.0043788916564198</v>
      </c>
      <c r="L35" s="42">
        <v>6.2349893062462689</v>
      </c>
      <c r="M35" s="1">
        <v>7.4</v>
      </c>
      <c r="N35" s="1">
        <v>12.2537161</v>
      </c>
      <c r="O35" s="1">
        <v>9.6164509000000002</v>
      </c>
      <c r="P35" s="1">
        <v>2.4909870000000001</v>
      </c>
      <c r="Q35" s="1">
        <v>0.1462782</v>
      </c>
      <c r="R35" s="17">
        <v>41.280366694378735</v>
      </c>
      <c r="S35" s="17">
        <v>23.093657708826971</v>
      </c>
      <c r="T35" s="17">
        <v>13.135716408448683</v>
      </c>
      <c r="U35" s="17">
        <v>5.0509925771030799</v>
      </c>
      <c r="V35" s="17">
        <v>10.975320549226327</v>
      </c>
    </row>
    <row r="36" spans="1:22" x14ac:dyDescent="0.3">
      <c r="A36" s="1" t="s">
        <v>263</v>
      </c>
      <c r="B36" s="1" t="s">
        <v>113</v>
      </c>
      <c r="C36" s="1" t="s">
        <v>37</v>
      </c>
      <c r="D36" s="1">
        <v>1</v>
      </c>
      <c r="E36" s="1" t="s">
        <v>130</v>
      </c>
      <c r="F36" s="1">
        <v>14</v>
      </c>
      <c r="G36" s="1" t="s">
        <v>214</v>
      </c>
      <c r="H36" s="17">
        <v>57.012501140615001</v>
      </c>
      <c r="I36" s="17">
        <v>73.671574903969244</v>
      </c>
      <c r="J36" s="42">
        <v>3.8253316026570165</v>
      </c>
      <c r="K36" s="17">
        <v>5.0603908916564198</v>
      </c>
      <c r="L36" s="42">
        <v>7.7191205562462697</v>
      </c>
      <c r="M36" s="1">
        <v>7.43</v>
      </c>
      <c r="N36" s="1">
        <v>12.696106</v>
      </c>
      <c r="O36" s="1">
        <v>9.9731912999999999</v>
      </c>
      <c r="P36" s="1">
        <v>2.4932452000000001</v>
      </c>
      <c r="Q36" s="1">
        <v>0.2296695</v>
      </c>
      <c r="R36" s="17">
        <v>39.930550836506356</v>
      </c>
      <c r="S36" s="17">
        <v>22.137196722306399</v>
      </c>
      <c r="T36" s="17">
        <v>13.135888181247886</v>
      </c>
      <c r="U36" s="17">
        <v>4.6574659329520713</v>
      </c>
      <c r="V36" s="17">
        <v>11.157549045333202</v>
      </c>
    </row>
    <row r="37" spans="1:22" x14ac:dyDescent="0.3">
      <c r="A37" s="1" t="s">
        <v>263</v>
      </c>
      <c r="B37" s="1" t="s">
        <v>113</v>
      </c>
      <c r="C37" s="1" t="s">
        <v>37</v>
      </c>
      <c r="D37" s="1">
        <v>2</v>
      </c>
      <c r="E37" s="1" t="s">
        <v>138</v>
      </c>
      <c r="F37" s="1">
        <v>14</v>
      </c>
      <c r="G37" s="1" t="s">
        <v>215</v>
      </c>
      <c r="H37" s="17">
        <v>54.853411215355798</v>
      </c>
      <c r="I37" s="17">
        <v>73.064237474477807</v>
      </c>
      <c r="J37" s="42">
        <v>3.9156376026570165</v>
      </c>
      <c r="K37" s="17">
        <v>4.94002489165642</v>
      </c>
      <c r="L37" s="42">
        <v>6.4024205562462715</v>
      </c>
      <c r="M37" s="1">
        <v>7.68</v>
      </c>
      <c r="N37" s="1">
        <v>12.1518838</v>
      </c>
      <c r="O37" s="1">
        <v>9.6014224000000006</v>
      </c>
      <c r="P37" s="1">
        <v>2.3430194000000002</v>
      </c>
      <c r="Q37" s="1">
        <v>0.20744199999999999</v>
      </c>
      <c r="R37" s="17">
        <v>38.554711832386843</v>
      </c>
      <c r="S37" s="17">
        <v>21.740144003396242</v>
      </c>
      <c r="T37" s="17">
        <v>12.330887700309015</v>
      </c>
      <c r="U37" s="17">
        <v>4.4836801286815859</v>
      </c>
      <c r="V37" s="17">
        <v>10.909025960644836</v>
      </c>
    </row>
    <row r="38" spans="1:22" x14ac:dyDescent="0.3">
      <c r="A38" s="1" t="s">
        <v>263</v>
      </c>
      <c r="B38" s="1" t="s">
        <v>19</v>
      </c>
      <c r="C38" s="1" t="s">
        <v>20</v>
      </c>
      <c r="D38" s="1">
        <v>1</v>
      </c>
      <c r="E38" s="1" t="s">
        <v>25</v>
      </c>
      <c r="F38" s="1">
        <v>30</v>
      </c>
      <c r="G38" s="1" t="s">
        <v>216</v>
      </c>
      <c r="H38" s="17">
        <v>61.958538882620097</v>
      </c>
      <c r="I38" s="17">
        <v>75.827814569536429</v>
      </c>
      <c r="J38" s="42">
        <v>3.8094026026570167</v>
      </c>
      <c r="K38" s="17">
        <v>5.0808128916564197</v>
      </c>
      <c r="L38" s="42">
        <v>7.9463143062462684</v>
      </c>
      <c r="M38" s="1">
        <v>7.65</v>
      </c>
      <c r="N38" s="1">
        <v>7.7633089000000002</v>
      </c>
      <c r="O38" s="1">
        <v>5.9882356000000003</v>
      </c>
      <c r="P38" s="1">
        <v>1.3899794999999999</v>
      </c>
      <c r="Q38" s="1">
        <v>0.38509379999999999</v>
      </c>
      <c r="R38" s="17">
        <v>42.23817522349681</v>
      </c>
      <c r="S38" s="17">
        <v>24.000264976163304</v>
      </c>
      <c r="T38" s="17">
        <v>13.487740769278977</v>
      </c>
      <c r="U38" s="17">
        <v>4.7501694780545289</v>
      </c>
      <c r="V38" s="17">
        <v>10.879948233008644</v>
      </c>
    </row>
    <row r="39" spans="1:22" x14ac:dyDescent="0.3">
      <c r="A39" s="1" t="s">
        <v>263</v>
      </c>
      <c r="B39" s="1" t="s">
        <v>19</v>
      </c>
      <c r="C39" s="1" t="s">
        <v>20</v>
      </c>
      <c r="D39" s="1">
        <v>2</v>
      </c>
      <c r="E39" s="1" t="s">
        <v>33</v>
      </c>
      <c r="F39" s="1">
        <v>30</v>
      </c>
      <c r="G39" s="1" t="s">
        <v>217</v>
      </c>
      <c r="H39" s="17">
        <v>58.151728345631</v>
      </c>
      <c r="I39" s="17">
        <v>74.983606557376959</v>
      </c>
      <c r="J39" s="42">
        <v>3.7439026026570166</v>
      </c>
      <c r="K39" s="17">
        <v>5.0146588916564196</v>
      </c>
      <c r="L39" s="42">
        <v>7.9422268062462695</v>
      </c>
      <c r="M39" s="1">
        <v>7.14</v>
      </c>
      <c r="N39" s="1">
        <v>13.8827488</v>
      </c>
      <c r="O39" s="1">
        <v>10.5771772</v>
      </c>
      <c r="P39" s="1">
        <v>2.8835215999999999</v>
      </c>
      <c r="Q39" s="1">
        <v>0.42204999999999998</v>
      </c>
      <c r="R39" s="17">
        <v>39.12347345231678</v>
      </c>
      <c r="S39" s="17">
        <v>22.172036239274824</v>
      </c>
      <c r="T39" s="17">
        <v>12.746802665359239</v>
      </c>
      <c r="U39" s="17">
        <v>4.2046345476827174</v>
      </c>
      <c r="V39" s="17">
        <v>12.189647709268362</v>
      </c>
    </row>
    <row r="40" spans="1:22" x14ac:dyDescent="0.3">
      <c r="A40" s="1" t="s">
        <v>263</v>
      </c>
      <c r="B40" s="1" t="s">
        <v>19</v>
      </c>
      <c r="C40" s="1" t="s">
        <v>37</v>
      </c>
      <c r="D40" s="1">
        <v>1</v>
      </c>
      <c r="E40" s="1" t="s">
        <v>42</v>
      </c>
      <c r="F40" s="1">
        <v>30</v>
      </c>
      <c r="G40" s="1" t="s">
        <v>218</v>
      </c>
      <c r="H40" s="17">
        <v>55.591119239953301</v>
      </c>
      <c r="I40" s="17">
        <v>74.538475598610759</v>
      </c>
      <c r="J40" s="42">
        <v>3.7493556026570167</v>
      </c>
      <c r="K40" s="17">
        <v>4.9446798916564205</v>
      </c>
      <c r="L40" s="42">
        <v>7.470776806246274</v>
      </c>
      <c r="M40" s="1">
        <v>7.1</v>
      </c>
      <c r="N40" s="1">
        <v>14.460652700000001</v>
      </c>
      <c r="O40" s="1">
        <v>11.1683205</v>
      </c>
      <c r="P40" s="1">
        <v>2.9091298999999999</v>
      </c>
      <c r="Q40" s="1">
        <v>0.3832023</v>
      </c>
      <c r="R40" s="17">
        <v>38.554711832386843</v>
      </c>
      <c r="S40" s="17">
        <v>21.740144003396242</v>
      </c>
      <c r="T40" s="17">
        <v>12.330887700309015</v>
      </c>
      <c r="U40" s="17">
        <v>4.4836801286815859</v>
      </c>
      <c r="V40" s="17">
        <v>11.240370946131574</v>
      </c>
    </row>
    <row r="41" spans="1:22" x14ac:dyDescent="0.3">
      <c r="A41" s="1" t="s">
        <v>263</v>
      </c>
      <c r="B41" s="1" t="s">
        <v>19</v>
      </c>
      <c r="C41" s="1" t="s">
        <v>37</v>
      </c>
      <c r="D41" s="1">
        <v>2</v>
      </c>
      <c r="E41" s="1" t="s">
        <v>50</v>
      </c>
      <c r="F41" s="1">
        <v>30</v>
      </c>
      <c r="G41" s="1" t="s">
        <v>219</v>
      </c>
      <c r="H41" s="17">
        <v>59.277598395918297</v>
      </c>
      <c r="I41" s="17">
        <v>74.876925520088804</v>
      </c>
      <c r="J41" s="42">
        <v>3.9395896026570165</v>
      </c>
      <c r="K41" s="17">
        <v>5.1020478916564196</v>
      </c>
      <c r="L41" s="42">
        <v>7.2653643062462692</v>
      </c>
      <c r="M41" s="1">
        <v>7.71</v>
      </c>
      <c r="N41" s="1">
        <v>6.5420634</v>
      </c>
      <c r="O41" s="1">
        <v>5.0153911999999998</v>
      </c>
      <c r="P41" s="1">
        <v>1.3666782</v>
      </c>
      <c r="Q41" s="1">
        <v>0.159994</v>
      </c>
      <c r="R41" s="17">
        <v>40.491297771904371</v>
      </c>
      <c r="S41" s="17">
        <v>22.86234242322455</v>
      </c>
      <c r="T41" s="17">
        <v>13.249902778727032</v>
      </c>
      <c r="U41" s="17">
        <v>4.3790525699527887</v>
      </c>
      <c r="V41" s="17">
        <v>10.600534794970493</v>
      </c>
    </row>
    <row r="42" spans="1:22" x14ac:dyDescent="0.3">
      <c r="A42" s="1" t="s">
        <v>263</v>
      </c>
      <c r="B42" s="1" t="s">
        <v>68</v>
      </c>
      <c r="C42" s="1" t="s">
        <v>20</v>
      </c>
      <c r="D42" s="1">
        <v>1</v>
      </c>
      <c r="E42" s="1" t="s">
        <v>71</v>
      </c>
      <c r="F42" s="1">
        <v>30</v>
      </c>
      <c r="G42" s="1" t="s">
        <v>220</v>
      </c>
      <c r="H42" s="17">
        <v>49.639820443462</v>
      </c>
      <c r="I42" s="17">
        <v>71.191406250000028</v>
      </c>
      <c r="J42" s="42">
        <v>3.8771256026570167</v>
      </c>
      <c r="K42" s="17">
        <v>4.6534758916564201</v>
      </c>
      <c r="L42" s="42">
        <v>4.8521893062462711</v>
      </c>
      <c r="M42" s="1">
        <v>7.79</v>
      </c>
      <c r="N42" s="1">
        <v>4.0799776000000003</v>
      </c>
      <c r="O42" s="1">
        <v>3.0764056000000002</v>
      </c>
      <c r="P42" s="1">
        <v>0.95146900000000001</v>
      </c>
      <c r="Q42" s="1">
        <v>5.2102999999999997E-2</v>
      </c>
      <c r="R42" s="17">
        <v>37.142285966599019</v>
      </c>
      <c r="S42" s="17">
        <v>21.3649474724836</v>
      </c>
      <c r="T42" s="17">
        <v>10.813743480707334</v>
      </c>
      <c r="U42" s="17">
        <v>4.9635950134080788</v>
      </c>
      <c r="V42" s="17">
        <v>11.988814659692627</v>
      </c>
    </row>
    <row r="43" spans="1:22" x14ac:dyDescent="0.3">
      <c r="A43" s="1" t="s">
        <v>263</v>
      </c>
      <c r="B43" s="1" t="s">
        <v>68</v>
      </c>
      <c r="C43" s="1" t="s">
        <v>20</v>
      </c>
      <c r="D43" s="1">
        <v>2</v>
      </c>
      <c r="E43" s="1" t="s">
        <v>79</v>
      </c>
      <c r="F43" s="1">
        <v>30</v>
      </c>
      <c r="G43" s="1" t="s">
        <v>221</v>
      </c>
      <c r="H43" s="17">
        <v>52.880776872087203</v>
      </c>
      <c r="I43" s="17">
        <v>72.173455056179833</v>
      </c>
      <c r="J43" s="42">
        <v>3.8580026026570167</v>
      </c>
      <c r="K43" s="17">
        <v>4.8187698916564194</v>
      </c>
      <c r="L43" s="42">
        <v>6.0047955562462674</v>
      </c>
      <c r="M43" s="1">
        <v>7.62</v>
      </c>
      <c r="N43" s="1">
        <v>7.9983959999999996</v>
      </c>
      <c r="O43" s="1">
        <v>5.9620613999999996</v>
      </c>
      <c r="P43" s="1">
        <v>1.8674123</v>
      </c>
      <c r="Q43" s="1">
        <v>0.1689223</v>
      </c>
      <c r="R43" s="17">
        <v>38.196576766978865</v>
      </c>
      <c r="S43" s="17">
        <v>22.172865003730333</v>
      </c>
      <c r="T43" s="17">
        <v>11.469702069318741</v>
      </c>
      <c r="U43" s="17">
        <v>4.5540096939297907</v>
      </c>
      <c r="V43" s="17">
        <v>11.511028599635569</v>
      </c>
    </row>
    <row r="44" spans="1:22" x14ac:dyDescent="0.3">
      <c r="A44" s="1" t="s">
        <v>263</v>
      </c>
      <c r="B44" s="1" t="s">
        <v>68</v>
      </c>
      <c r="C44" s="1" t="s">
        <v>37</v>
      </c>
      <c r="D44" s="1">
        <v>1</v>
      </c>
      <c r="E44" s="1" t="s">
        <v>87</v>
      </c>
      <c r="F44" s="1">
        <v>30</v>
      </c>
      <c r="G44" s="1" t="s">
        <v>222</v>
      </c>
      <c r="H44" s="17">
        <v>55.793422635431298</v>
      </c>
      <c r="I44" s="17">
        <v>72.848529143065903</v>
      </c>
      <c r="J44" s="42">
        <v>3.8798366026570168</v>
      </c>
      <c r="K44" s="17">
        <v>4.9986588916564205</v>
      </c>
      <c r="L44" s="42">
        <v>6.9926393062462733</v>
      </c>
      <c r="M44" s="1">
        <v>7.63</v>
      </c>
      <c r="N44" s="1">
        <v>7.0310088999999998</v>
      </c>
      <c r="O44" s="1">
        <v>5.2479301999999999</v>
      </c>
      <c r="P44" s="1">
        <v>1.6436457</v>
      </c>
      <c r="Q44" s="1">
        <v>0.139433</v>
      </c>
      <c r="R44" s="17">
        <v>41.095548234716034</v>
      </c>
      <c r="S44" s="17">
        <v>23.510452470413092</v>
      </c>
      <c r="T44" s="17">
        <v>12.463016441678485</v>
      </c>
      <c r="U44" s="17">
        <v>5.1220793226244563</v>
      </c>
      <c r="V44" s="17">
        <v>11.105204392403866</v>
      </c>
    </row>
    <row r="45" spans="1:22" x14ac:dyDescent="0.3">
      <c r="A45" s="1" t="s">
        <v>263</v>
      </c>
      <c r="B45" s="1" t="s">
        <v>68</v>
      </c>
      <c r="C45" s="1" t="s">
        <v>37</v>
      </c>
      <c r="D45" s="1">
        <v>2</v>
      </c>
      <c r="E45" s="1" t="s">
        <v>95</v>
      </c>
      <c r="F45" s="1">
        <v>30</v>
      </c>
      <c r="G45" s="1" t="s">
        <v>223</v>
      </c>
      <c r="H45" s="17">
        <v>52.290694351843001</v>
      </c>
      <c r="I45" s="17">
        <v>72.212102813195727</v>
      </c>
      <c r="J45" s="42">
        <v>3.8932786026570168</v>
      </c>
      <c r="K45" s="17">
        <v>4.8760748916564198</v>
      </c>
      <c r="L45" s="42">
        <v>6.1424768062462691</v>
      </c>
      <c r="M45" s="1">
        <v>7.81</v>
      </c>
      <c r="N45" s="1">
        <v>9.0055616000000001</v>
      </c>
      <c r="O45" s="1">
        <v>6.7985272999999999</v>
      </c>
      <c r="P45" s="1">
        <v>2.0910087000000002</v>
      </c>
      <c r="Q45" s="1">
        <v>0.11602560000000001</v>
      </c>
      <c r="R45" s="17">
        <v>36.96482389414583</v>
      </c>
      <c r="S45" s="17">
        <v>20.928546387731796</v>
      </c>
      <c r="T45" s="17">
        <v>11.183435797673459</v>
      </c>
      <c r="U45" s="17">
        <v>4.8528417087405753</v>
      </c>
      <c r="V45" s="17">
        <v>11.269329046406028</v>
      </c>
    </row>
    <row r="46" spans="1:22" x14ac:dyDescent="0.3">
      <c r="A46" s="1" t="s">
        <v>263</v>
      </c>
      <c r="B46" s="1" t="s">
        <v>113</v>
      </c>
      <c r="C46" s="1" t="s">
        <v>20</v>
      </c>
      <c r="D46" s="1">
        <v>1</v>
      </c>
      <c r="E46" s="1" t="s">
        <v>116</v>
      </c>
      <c r="F46" s="1">
        <v>30</v>
      </c>
      <c r="G46" s="1" t="s">
        <v>224</v>
      </c>
      <c r="H46" s="17">
        <v>46.644394637797603</v>
      </c>
      <c r="I46" s="17">
        <v>69.492293744333594</v>
      </c>
      <c r="J46" s="42">
        <v>4.4264076026570169</v>
      </c>
      <c r="K46" s="17">
        <v>5.2481928916564202</v>
      </c>
      <c r="L46" s="42">
        <v>5.1361580562462708</v>
      </c>
      <c r="M46" s="1">
        <v>8.2100000000000009</v>
      </c>
      <c r="N46" s="1">
        <v>3.4878078000000001</v>
      </c>
      <c r="O46" s="1">
        <v>2.6241161000000002</v>
      </c>
      <c r="P46" s="1">
        <v>0.86369169999999995</v>
      </c>
      <c r="Q46" s="1">
        <v>0</v>
      </c>
      <c r="R46" s="17">
        <v>38.465492164627094</v>
      </c>
      <c r="S46" s="17">
        <v>22.257951335422199</v>
      </c>
      <c r="T46" s="17">
        <v>11.402695264716492</v>
      </c>
      <c r="U46" s="17">
        <v>4.8048455644884029</v>
      </c>
      <c r="V46" s="17">
        <v>10.018094212028641</v>
      </c>
    </row>
    <row r="47" spans="1:22" x14ac:dyDescent="0.3">
      <c r="A47" s="1" t="s">
        <v>263</v>
      </c>
      <c r="B47" s="1" t="s">
        <v>113</v>
      </c>
      <c r="C47" s="1" t="s">
        <v>20</v>
      </c>
      <c r="D47" s="1">
        <v>2</v>
      </c>
      <c r="E47" s="1" t="s">
        <v>124</v>
      </c>
      <c r="F47" s="1">
        <v>30</v>
      </c>
      <c r="G47" s="1" t="s">
        <v>225</v>
      </c>
      <c r="H47" s="17">
        <v>46.363676457616698</v>
      </c>
      <c r="I47" s="17">
        <v>69.583828775267463</v>
      </c>
      <c r="J47" s="42">
        <v>4.0531266026570165</v>
      </c>
      <c r="K47" s="17">
        <v>4.8749118916564198</v>
      </c>
      <c r="L47" s="42">
        <v>5.1361580562462708</v>
      </c>
      <c r="M47" s="1">
        <v>8.06</v>
      </c>
      <c r="N47" s="1">
        <v>2.9550722</v>
      </c>
      <c r="O47" s="1">
        <v>2.3665259000000001</v>
      </c>
      <c r="P47" s="1">
        <v>0.58854629999999997</v>
      </c>
      <c r="Q47" s="1">
        <v>0</v>
      </c>
      <c r="R47" s="17">
        <v>38.020414583321525</v>
      </c>
      <c r="S47" s="17">
        <v>20.816795525793097</v>
      </c>
      <c r="T47" s="17">
        <v>12.636908096817468</v>
      </c>
      <c r="U47" s="17">
        <v>4.5667109607109602</v>
      </c>
      <c r="V47" s="17">
        <v>11.032889753783099</v>
      </c>
    </row>
    <row r="48" spans="1:22" x14ac:dyDescent="0.3">
      <c r="A48" s="1" t="s">
        <v>263</v>
      </c>
      <c r="B48" s="1" t="s">
        <v>113</v>
      </c>
      <c r="C48" s="1" t="s">
        <v>37</v>
      </c>
      <c r="D48" s="1">
        <v>1</v>
      </c>
      <c r="E48" s="1" t="s">
        <v>132</v>
      </c>
      <c r="F48" s="1">
        <v>30</v>
      </c>
      <c r="G48" s="1" t="s">
        <v>226</v>
      </c>
      <c r="H48" s="17">
        <v>50.608124879340302</v>
      </c>
      <c r="I48" s="17">
        <v>71.335149863760165</v>
      </c>
      <c r="J48" s="42">
        <v>4.1815646026570166</v>
      </c>
      <c r="K48" s="17">
        <v>4.8713718916564197</v>
      </c>
      <c r="L48" s="42">
        <v>4.3112955562462698</v>
      </c>
      <c r="M48" s="1">
        <v>7.57</v>
      </c>
      <c r="N48" s="1">
        <v>11.2963387</v>
      </c>
      <c r="O48" s="1">
        <v>8.6514381999999994</v>
      </c>
      <c r="P48" s="1">
        <v>2.4029604</v>
      </c>
      <c r="Q48" s="1">
        <v>0.24194009999999999</v>
      </c>
      <c r="R48" s="17">
        <v>39.445521572696968</v>
      </c>
      <c r="S48" s="17">
        <v>22.952312410218717</v>
      </c>
      <c r="T48" s="17">
        <v>11.69885904649178</v>
      </c>
      <c r="U48" s="17">
        <v>4.7943501159864708</v>
      </c>
      <c r="V48" s="17">
        <v>11.292041144759054</v>
      </c>
    </row>
    <row r="49" spans="1:22" x14ac:dyDescent="0.3">
      <c r="A49" s="1" t="s">
        <v>263</v>
      </c>
      <c r="B49" s="1" t="s">
        <v>113</v>
      </c>
      <c r="C49" s="1" t="s">
        <v>37</v>
      </c>
      <c r="D49" s="1">
        <v>2</v>
      </c>
      <c r="E49" s="1" t="s">
        <v>140</v>
      </c>
      <c r="F49" s="1">
        <v>30</v>
      </c>
      <c r="G49" s="1" t="s">
        <v>227</v>
      </c>
      <c r="H49" s="17">
        <v>49.0021869874248</v>
      </c>
      <c r="I49" s="17">
        <v>70.734542073454207</v>
      </c>
      <c r="J49" s="42">
        <v>4.1643546026570171</v>
      </c>
      <c r="K49" s="17">
        <v>4.9419738916564198</v>
      </c>
      <c r="L49" s="42">
        <v>4.860120556246267</v>
      </c>
      <c r="M49" s="1">
        <v>7.72</v>
      </c>
      <c r="N49" s="1">
        <v>9.7242916000000008</v>
      </c>
      <c r="O49" s="1">
        <v>7.4254892000000003</v>
      </c>
      <c r="P49" s="1">
        <v>2.1624534</v>
      </c>
      <c r="Q49" s="1">
        <v>0.136349</v>
      </c>
      <c r="R49" s="17">
        <v>36.694981311006195</v>
      </c>
      <c r="S49" s="17">
        <v>20.584614874069999</v>
      </c>
      <c r="T49" s="17">
        <v>11.834552738054645</v>
      </c>
      <c r="U49" s="17">
        <v>4.2758136988815512</v>
      </c>
      <c r="V49" s="17">
        <v>11.779484797665182</v>
      </c>
    </row>
    <row r="50" spans="1:22" x14ac:dyDescent="0.3">
      <c r="A50" s="1" t="s">
        <v>263</v>
      </c>
      <c r="B50" s="1" t="s">
        <v>19</v>
      </c>
      <c r="C50" s="1" t="s">
        <v>20</v>
      </c>
      <c r="D50" s="1">
        <v>1</v>
      </c>
      <c r="E50" s="1" t="s">
        <v>27</v>
      </c>
      <c r="F50" s="1">
        <v>90</v>
      </c>
      <c r="G50" s="1" t="s">
        <v>228</v>
      </c>
      <c r="H50" s="17">
        <v>55.5</v>
      </c>
      <c r="I50" s="17">
        <v>72.5</v>
      </c>
      <c r="J50" s="42">
        <v>4.0880696026570167</v>
      </c>
      <c r="K50" s="17">
        <v>5.4512678916564203</v>
      </c>
      <c r="L50" s="42">
        <v>8.5199893062462735</v>
      </c>
      <c r="M50" s="1">
        <v>7.75</v>
      </c>
      <c r="N50" s="1">
        <v>4.7282805000000003</v>
      </c>
      <c r="O50" s="1">
        <v>3.0101262000000002</v>
      </c>
      <c r="P50" s="1">
        <v>1.1335535000000001</v>
      </c>
      <c r="Q50" s="1">
        <v>0.27066489999999999</v>
      </c>
      <c r="R50" s="17">
        <v>41.690036866481918</v>
      </c>
      <c r="S50" s="17">
        <v>23.684612417755254</v>
      </c>
      <c r="T50" s="17">
        <v>12.360473772455579</v>
      </c>
      <c r="U50" s="17">
        <v>5.644950676271085</v>
      </c>
      <c r="V50" s="17">
        <v>14.06584709543481</v>
      </c>
    </row>
    <row r="51" spans="1:22" x14ac:dyDescent="0.3">
      <c r="A51" s="1" t="s">
        <v>263</v>
      </c>
      <c r="B51" s="1" t="s">
        <v>19</v>
      </c>
      <c r="C51" s="1" t="s">
        <v>20</v>
      </c>
      <c r="D51" s="1">
        <v>2</v>
      </c>
      <c r="E51" s="1" t="s">
        <v>35</v>
      </c>
      <c r="F51" s="1">
        <v>90</v>
      </c>
      <c r="G51" s="1" t="s">
        <v>229</v>
      </c>
      <c r="H51" s="17">
        <v>48.8</v>
      </c>
      <c r="I51" s="17">
        <v>70.940000000000012</v>
      </c>
      <c r="J51" s="42">
        <v>3.8611946026570165</v>
      </c>
      <c r="K51" s="17">
        <v>4.8661358916564197</v>
      </c>
      <c r="L51" s="42">
        <v>6.2808830562462701</v>
      </c>
      <c r="M51" s="1">
        <v>7.82</v>
      </c>
      <c r="N51" s="1">
        <v>4.4001599999999996</v>
      </c>
      <c r="O51" s="1">
        <v>2.9370758000000001</v>
      </c>
      <c r="P51" s="1">
        <v>1.0006383999999999</v>
      </c>
      <c r="Q51" s="1">
        <v>0.25012770000000001</v>
      </c>
      <c r="R51" s="17">
        <v>40.850498132290376</v>
      </c>
      <c r="S51" s="17">
        <v>20.716967791418046</v>
      </c>
      <c r="T51" s="17">
        <v>13.594657436965578</v>
      </c>
      <c r="U51" s="17">
        <v>6.5388729039067517</v>
      </c>
      <c r="V51" s="17">
        <v>14.400780970790732</v>
      </c>
    </row>
    <row r="52" spans="1:22" x14ac:dyDescent="0.3">
      <c r="A52" s="1" t="s">
        <v>263</v>
      </c>
      <c r="B52" s="1" t="s">
        <v>19</v>
      </c>
      <c r="C52" s="1" t="s">
        <v>37</v>
      </c>
      <c r="D52" s="1">
        <v>1</v>
      </c>
      <c r="E52" s="1" t="s">
        <v>44</v>
      </c>
      <c r="F52" s="1">
        <v>90</v>
      </c>
      <c r="G52" s="1" t="s">
        <v>230</v>
      </c>
      <c r="H52" s="17">
        <v>53.5</v>
      </c>
      <c r="I52" s="17">
        <v>72.97</v>
      </c>
      <c r="J52" s="42">
        <v>3.8517076026570165</v>
      </c>
      <c r="K52" s="17">
        <v>5.25774189165642</v>
      </c>
      <c r="L52" s="42">
        <v>8.7877143062462721</v>
      </c>
      <c r="M52" s="1">
        <v>7.05</v>
      </c>
      <c r="N52" s="1">
        <v>4.4156161000000003</v>
      </c>
      <c r="O52" s="1">
        <v>0</v>
      </c>
      <c r="P52" s="1">
        <v>2.6221268000000002</v>
      </c>
      <c r="Q52" s="1">
        <v>1.0276548000000001</v>
      </c>
      <c r="R52" s="17">
        <v>43.182333372760326</v>
      </c>
      <c r="S52" s="17">
        <v>24.230689223769598</v>
      </c>
      <c r="T52" s="17">
        <v>12.811722010536279</v>
      </c>
      <c r="U52" s="17">
        <v>6.1399221384544491</v>
      </c>
      <c r="V52" s="17">
        <v>13.398144682779535</v>
      </c>
    </row>
    <row r="53" spans="1:22" x14ac:dyDescent="0.3">
      <c r="A53" s="1" t="s">
        <v>263</v>
      </c>
      <c r="B53" s="1" t="s">
        <v>19</v>
      </c>
      <c r="C53" s="1" t="s">
        <v>37</v>
      </c>
      <c r="D53" s="1">
        <v>2</v>
      </c>
      <c r="E53" s="1" t="s">
        <v>52</v>
      </c>
      <c r="F53" s="1">
        <v>90</v>
      </c>
      <c r="G53" s="1" t="s">
        <v>231</v>
      </c>
      <c r="H53" s="17">
        <v>55.6</v>
      </c>
      <c r="I53" s="17">
        <v>73.81</v>
      </c>
      <c r="J53" s="42">
        <v>3.9392536026570166</v>
      </c>
      <c r="K53" s="17">
        <v>5.1878688916564197</v>
      </c>
      <c r="L53" s="42">
        <v>7.8038455562462694</v>
      </c>
      <c r="M53" s="1">
        <v>7.11</v>
      </c>
      <c r="N53" s="1">
        <v>4.8477332000000004</v>
      </c>
      <c r="O53" s="1">
        <v>0</v>
      </c>
      <c r="P53" s="1">
        <v>3.3231828999999999</v>
      </c>
      <c r="Q53" s="1">
        <v>0.88265099999999996</v>
      </c>
      <c r="R53" s="17">
        <v>40.40269667433688</v>
      </c>
      <c r="S53" s="17">
        <v>22.014302477043326</v>
      </c>
      <c r="T53" s="17">
        <v>12.966172800250256</v>
      </c>
      <c r="U53" s="17">
        <v>5.4222213970432982</v>
      </c>
      <c r="V53" s="17">
        <v>13.417341697889531</v>
      </c>
    </row>
    <row r="54" spans="1:22" x14ac:dyDescent="0.3">
      <c r="A54" s="1" t="s">
        <v>263</v>
      </c>
      <c r="B54" s="1" t="s">
        <v>19</v>
      </c>
      <c r="C54" s="1" t="s">
        <v>54</v>
      </c>
      <c r="D54" s="1">
        <v>1</v>
      </c>
      <c r="E54" s="1" t="s">
        <v>233</v>
      </c>
      <c r="F54" s="1">
        <v>90</v>
      </c>
      <c r="G54" s="1" t="s">
        <v>232</v>
      </c>
      <c r="H54" s="17">
        <v>60.1</v>
      </c>
      <c r="I54" s="17">
        <v>72.34</v>
      </c>
      <c r="J54" s="42">
        <v>3.9256856026570168</v>
      </c>
      <c r="K54" s="17">
        <v>5.1557798916564206</v>
      </c>
      <c r="L54" s="42">
        <v>7.6880893062462734</v>
      </c>
      <c r="M54" s="1">
        <v>8.19</v>
      </c>
      <c r="N54" s="1">
        <v>3.5804803000000001</v>
      </c>
      <c r="O54" s="1">
        <v>1.6746011000000001</v>
      </c>
      <c r="P54" s="1">
        <v>0.65590040000000005</v>
      </c>
      <c r="Q54" s="1">
        <v>0.47925879999999998</v>
      </c>
      <c r="R54" s="17">
        <v>36.596112459037144</v>
      </c>
      <c r="S54" s="17">
        <v>17.859012862301178</v>
      </c>
      <c r="T54" s="17">
        <v>11.283197877069192</v>
      </c>
      <c r="U54" s="17">
        <v>7.4539017196667752</v>
      </c>
      <c r="V54" s="17">
        <v>15.011999793281912</v>
      </c>
    </row>
    <row r="55" spans="1:22" x14ac:dyDescent="0.3">
      <c r="A55" s="1" t="s">
        <v>263</v>
      </c>
      <c r="B55" s="1" t="s">
        <v>19</v>
      </c>
      <c r="C55" s="1" t="s">
        <v>54</v>
      </c>
      <c r="D55" s="1">
        <v>2</v>
      </c>
      <c r="E55" s="1" t="s">
        <v>235</v>
      </c>
      <c r="F55" s="1">
        <v>90</v>
      </c>
      <c r="G55" s="1" t="s">
        <v>234</v>
      </c>
      <c r="H55" s="17">
        <v>60.3</v>
      </c>
      <c r="I55" s="17">
        <v>72.59</v>
      </c>
      <c r="J55" s="42">
        <v>3.8974556026570166</v>
      </c>
      <c r="K55" s="17">
        <v>5.3046998916564201</v>
      </c>
      <c r="L55" s="42">
        <v>8.795276806246271</v>
      </c>
      <c r="M55" s="1">
        <v>8.2200000000000006</v>
      </c>
      <c r="N55" s="1">
        <v>5.5110232000000003</v>
      </c>
      <c r="O55" s="1">
        <v>2.6547266999999999</v>
      </c>
      <c r="P55" s="1">
        <v>0.95439030000000002</v>
      </c>
      <c r="Q55" s="1">
        <v>0.78510170000000001</v>
      </c>
      <c r="R55" s="17">
        <v>42.443318360078592</v>
      </c>
      <c r="S55" s="17">
        <v>21.245700805411214</v>
      </c>
      <c r="T55" s="17">
        <v>15.330220819076803</v>
      </c>
      <c r="U55" s="17">
        <v>5.8673967355905745</v>
      </c>
      <c r="V55" s="17">
        <v>13.789562148299556</v>
      </c>
    </row>
    <row r="56" spans="1:22" x14ac:dyDescent="0.3">
      <c r="A56" s="1" t="s">
        <v>263</v>
      </c>
      <c r="B56" s="1" t="s">
        <v>19</v>
      </c>
      <c r="C56" s="1" t="s">
        <v>61</v>
      </c>
      <c r="D56" s="1">
        <v>1</v>
      </c>
      <c r="E56" s="1" t="s">
        <v>237</v>
      </c>
      <c r="F56" s="1">
        <v>90</v>
      </c>
      <c r="G56" s="1" t="s">
        <v>236</v>
      </c>
      <c r="H56" s="17">
        <v>65.900000000000006</v>
      </c>
      <c r="I56" s="17">
        <v>74.11999999999999</v>
      </c>
      <c r="J56" s="42">
        <v>3.6584406026570169</v>
      </c>
      <c r="K56" s="17">
        <v>5.0981608916564198</v>
      </c>
      <c r="L56" s="42">
        <v>8.9982518062462677</v>
      </c>
      <c r="M56" s="1">
        <v>7.74</v>
      </c>
      <c r="N56" s="1">
        <v>5.1505710999999996</v>
      </c>
      <c r="O56" s="1">
        <v>3.0221041999999998</v>
      </c>
      <c r="P56" s="1">
        <v>1.2257442999999999</v>
      </c>
      <c r="Q56" s="1">
        <v>0.49718899999999999</v>
      </c>
      <c r="R56" s="17">
        <v>38.190481213537396</v>
      </c>
      <c r="S56" s="17">
        <v>19.133978203421712</v>
      </c>
      <c r="T56" s="17">
        <v>13.574603917715315</v>
      </c>
      <c r="U56" s="17">
        <v>5.4818990924003677</v>
      </c>
      <c r="V56" s="17">
        <v>13.665847705148481</v>
      </c>
    </row>
    <row r="57" spans="1:22" x14ac:dyDescent="0.3">
      <c r="A57" s="1" t="s">
        <v>263</v>
      </c>
      <c r="B57" s="1" t="s">
        <v>19</v>
      </c>
      <c r="C57" s="1" t="s">
        <v>61</v>
      </c>
      <c r="D57" s="1">
        <v>2</v>
      </c>
      <c r="E57" s="1" t="s">
        <v>239</v>
      </c>
      <c r="F57" s="1">
        <v>90</v>
      </c>
      <c r="G57" s="1" t="s">
        <v>238</v>
      </c>
      <c r="H57" s="17">
        <v>65</v>
      </c>
      <c r="I57" s="17">
        <v>74.099999999999994</v>
      </c>
      <c r="J57" s="42">
        <v>3.8121386026570168</v>
      </c>
      <c r="K57" s="17">
        <v>5.3638818916564199</v>
      </c>
      <c r="L57" s="42">
        <v>9.69839555624627</v>
      </c>
      <c r="M57" s="1">
        <v>7.7</v>
      </c>
      <c r="N57" s="1">
        <v>5.3912474000000001</v>
      </c>
      <c r="O57" s="1">
        <v>3.1619139999999999</v>
      </c>
      <c r="P57" s="1">
        <v>1.2314282000000001</v>
      </c>
      <c r="Q57" s="1">
        <v>0.54519870000000004</v>
      </c>
      <c r="R57" s="17">
        <v>39.627356194422248</v>
      </c>
      <c r="S57" s="17">
        <v>20.426099994434963</v>
      </c>
      <c r="T57" s="17">
        <v>13.581541771951118</v>
      </c>
      <c r="U57" s="17">
        <v>5.6197144280361666</v>
      </c>
      <c r="V57" s="17">
        <v>14.039168756816862</v>
      </c>
    </row>
    <row r="58" spans="1:22" x14ac:dyDescent="0.3">
      <c r="A58" s="1" t="s">
        <v>263</v>
      </c>
      <c r="B58" s="1" t="s">
        <v>68</v>
      </c>
      <c r="C58" s="1" t="s">
        <v>20</v>
      </c>
      <c r="D58" s="1">
        <v>1</v>
      </c>
      <c r="E58" s="1" t="s">
        <v>73</v>
      </c>
      <c r="F58" s="1">
        <v>90</v>
      </c>
      <c r="G58" s="1" t="s">
        <v>240</v>
      </c>
      <c r="H58" s="17">
        <v>44.811135696687202</v>
      </c>
      <c r="I58" s="17">
        <v>66.520672740014021</v>
      </c>
      <c r="J58" s="42">
        <v>4.0964876026570165</v>
      </c>
      <c r="K58" s="17">
        <v>4.7536598916564197</v>
      </c>
      <c r="L58" s="42">
        <v>4.1073268062462702</v>
      </c>
      <c r="M58" s="1">
        <v>8.5299999999999994</v>
      </c>
      <c r="N58" s="1">
        <v>0.65698319999999999</v>
      </c>
      <c r="O58" s="1">
        <v>6.2324400000000002E-2</v>
      </c>
      <c r="P58" s="1">
        <v>0</v>
      </c>
      <c r="Q58" s="1">
        <v>0</v>
      </c>
      <c r="R58" s="41">
        <v>38.997991228514195</v>
      </c>
      <c r="S58" s="41">
        <v>20.159677849135665</v>
      </c>
      <c r="T58" s="41">
        <v>12.98134648096844</v>
      </c>
      <c r="U58" s="41">
        <v>5.8569668984100893</v>
      </c>
      <c r="V58" s="17">
        <v>7.2033094899479</v>
      </c>
    </row>
    <row r="59" spans="1:22" x14ac:dyDescent="0.3">
      <c r="A59" s="1" t="s">
        <v>263</v>
      </c>
      <c r="B59" s="1" t="s">
        <v>68</v>
      </c>
      <c r="C59" s="1" t="s">
        <v>20</v>
      </c>
      <c r="D59" s="1">
        <v>2</v>
      </c>
      <c r="E59" s="1" t="s">
        <v>81</v>
      </c>
      <c r="F59" s="1">
        <v>90</v>
      </c>
      <c r="G59" s="1" t="s">
        <v>241</v>
      </c>
      <c r="H59" s="17">
        <v>50.022942476953197</v>
      </c>
      <c r="I59" s="17">
        <v>69.079386257505007</v>
      </c>
      <c r="J59" s="42">
        <v>3.8258906026570165</v>
      </c>
      <c r="K59" s="17">
        <v>4.7187068916564199</v>
      </c>
      <c r="L59" s="42">
        <v>5.5801018062462706</v>
      </c>
      <c r="M59" s="1">
        <v>8.57</v>
      </c>
      <c r="N59" s="1">
        <v>0.72779380000000005</v>
      </c>
      <c r="O59" s="1">
        <v>7.7856999999999996E-2</v>
      </c>
      <c r="P59" s="1">
        <v>0</v>
      </c>
      <c r="Q59" s="1">
        <v>0</v>
      </c>
      <c r="R59" s="41">
        <v>41.569662204905747</v>
      </c>
      <c r="S59" s="41">
        <v>20.582004295432309</v>
      </c>
      <c r="T59" s="41">
        <v>15.212303317737803</v>
      </c>
      <c r="U59" s="41">
        <v>5.7753545917356357</v>
      </c>
      <c r="V59" s="17">
        <v>7.6148903131662404</v>
      </c>
    </row>
    <row r="60" spans="1:22" x14ac:dyDescent="0.3">
      <c r="A60" s="1" t="s">
        <v>263</v>
      </c>
      <c r="B60" s="1" t="s">
        <v>68</v>
      </c>
      <c r="C60" s="1" t="s">
        <v>37</v>
      </c>
      <c r="D60" s="1">
        <v>1</v>
      </c>
      <c r="E60" s="1" t="s">
        <v>89</v>
      </c>
      <c r="F60" s="1">
        <v>90</v>
      </c>
      <c r="G60" s="1" t="s">
        <v>242</v>
      </c>
      <c r="H60" s="17">
        <v>54.401248515059102</v>
      </c>
      <c r="I60" s="17">
        <v>70.568060021436224</v>
      </c>
      <c r="J60" s="42">
        <v>3.7480466026570167</v>
      </c>
      <c r="K60" s="17">
        <v>4.8188578916564202</v>
      </c>
      <c r="L60" s="42">
        <v>6.6925705562462721</v>
      </c>
      <c r="M60" s="1">
        <v>8.65</v>
      </c>
      <c r="N60" s="1">
        <v>1.9538439000000001</v>
      </c>
      <c r="O60" s="1">
        <v>0.54279790000000006</v>
      </c>
      <c r="P60" s="1">
        <v>7.9760499999999998E-2</v>
      </c>
      <c r="Q60" s="1">
        <v>3.0204499999999999E-2</v>
      </c>
      <c r="R60" s="41">
        <v>41.90874120019145</v>
      </c>
      <c r="S60" s="41">
        <v>20.972787732929412</v>
      </c>
      <c r="T60" s="41">
        <v>14.833119237860506</v>
      </c>
      <c r="U60" s="41">
        <v>6.1028342294015321</v>
      </c>
      <c r="V60" s="17">
        <v>11.6591997809542</v>
      </c>
    </row>
    <row r="61" spans="1:22" x14ac:dyDescent="0.3">
      <c r="A61" s="1" t="s">
        <v>263</v>
      </c>
      <c r="B61" s="1" t="s">
        <v>68</v>
      </c>
      <c r="C61" s="1" t="s">
        <v>37</v>
      </c>
      <c r="D61" s="1">
        <v>2</v>
      </c>
      <c r="E61" s="1" t="s">
        <v>97</v>
      </c>
      <c r="F61" s="1">
        <v>90</v>
      </c>
      <c r="G61" s="1" t="s">
        <v>243</v>
      </c>
      <c r="H61" s="17">
        <v>52.674825930891302</v>
      </c>
      <c r="I61" s="17">
        <v>70.242782152230973</v>
      </c>
      <c r="J61" s="42">
        <v>3.9274416026570167</v>
      </c>
      <c r="K61" s="17">
        <v>5.0472278916564202</v>
      </c>
      <c r="L61" s="42">
        <v>6.9986643062462717</v>
      </c>
      <c r="M61" s="1">
        <v>8.56</v>
      </c>
      <c r="N61" s="1">
        <v>2.0219692</v>
      </c>
      <c r="O61" s="1">
        <v>0.56939899999999999</v>
      </c>
      <c r="P61" s="1">
        <v>8.5019399999999995E-2</v>
      </c>
      <c r="Q61" s="1">
        <v>3.88808E-2</v>
      </c>
      <c r="R61" s="41">
        <v>42.675007769897341</v>
      </c>
      <c r="S61" s="41">
        <v>20.825758434577921</v>
      </c>
      <c r="T61" s="41">
        <v>16.439365861923527</v>
      </c>
      <c r="U61" s="41">
        <v>5.4098834733958956</v>
      </c>
      <c r="V61" s="17">
        <v>10.381508582869939</v>
      </c>
    </row>
    <row r="62" spans="1:22" x14ac:dyDescent="0.3">
      <c r="A62" s="1" t="s">
        <v>263</v>
      </c>
      <c r="B62" s="1" t="s">
        <v>68</v>
      </c>
      <c r="C62" s="1" t="s">
        <v>54</v>
      </c>
      <c r="D62" s="1">
        <v>1</v>
      </c>
      <c r="E62" s="1" t="s">
        <v>101</v>
      </c>
      <c r="F62" s="1">
        <v>90</v>
      </c>
      <c r="G62" s="1" t="s">
        <v>244</v>
      </c>
      <c r="H62" s="17">
        <v>55.379618351603703</v>
      </c>
      <c r="I62" s="17">
        <v>67.877504479556919</v>
      </c>
      <c r="J62" s="42">
        <v>4.0316126026570167</v>
      </c>
      <c r="K62" s="17">
        <v>4.7341108916564201</v>
      </c>
      <c r="L62" s="42">
        <v>4.3906143062462712</v>
      </c>
      <c r="M62" s="1">
        <v>8.68</v>
      </c>
      <c r="N62" s="1">
        <v>0.2117916</v>
      </c>
      <c r="O62" s="1">
        <v>0</v>
      </c>
      <c r="P62" s="1">
        <v>0</v>
      </c>
      <c r="Q62" s="1">
        <v>0</v>
      </c>
      <c r="R62" s="41">
        <v>41.93490734493777</v>
      </c>
      <c r="S62" s="41">
        <v>21.198035920601775</v>
      </c>
      <c r="T62" s="41">
        <v>14.598563442344759</v>
      </c>
      <c r="U62" s="41">
        <v>6.138307981991229</v>
      </c>
      <c r="V62" s="17">
        <v>7.2011554940107043</v>
      </c>
    </row>
    <row r="63" spans="1:22" x14ac:dyDescent="0.3">
      <c r="A63" s="1" t="s">
        <v>263</v>
      </c>
      <c r="B63" s="1" t="s">
        <v>68</v>
      </c>
      <c r="C63" s="1" t="s">
        <v>54</v>
      </c>
      <c r="D63" s="1">
        <v>2</v>
      </c>
      <c r="E63" s="1" t="s">
        <v>105</v>
      </c>
      <c r="F63" s="1">
        <v>90</v>
      </c>
      <c r="G63" s="1" t="s">
        <v>245</v>
      </c>
      <c r="H63" s="17">
        <v>57.193914696065697</v>
      </c>
      <c r="I63" s="17">
        <v>68.368021143045922</v>
      </c>
      <c r="J63" s="42">
        <v>3.8447316026570166</v>
      </c>
      <c r="K63" s="17">
        <v>4.8288818916564198</v>
      </c>
      <c r="L63" s="42">
        <v>6.1509393062462694</v>
      </c>
      <c r="M63" s="1">
        <v>8.6999999999999993</v>
      </c>
      <c r="N63" s="1">
        <v>0.2478339</v>
      </c>
      <c r="O63" s="1">
        <v>0</v>
      </c>
      <c r="P63" s="1">
        <v>0</v>
      </c>
      <c r="Q63" s="1">
        <v>0</v>
      </c>
      <c r="R63" s="41">
        <v>43.127557326402346</v>
      </c>
      <c r="S63" s="41">
        <v>21.131828818778498</v>
      </c>
      <c r="T63" s="41">
        <v>15.944379338001882</v>
      </c>
      <c r="U63" s="41">
        <v>6.0513491696219663</v>
      </c>
      <c r="V63" s="17">
        <v>7.0306826948103769</v>
      </c>
    </row>
    <row r="64" spans="1:22" x14ac:dyDescent="0.3">
      <c r="A64" s="1" t="s">
        <v>263</v>
      </c>
      <c r="B64" s="1" t="s">
        <v>68</v>
      </c>
      <c r="C64" s="1" t="s">
        <v>61</v>
      </c>
      <c r="D64" s="1">
        <v>1</v>
      </c>
      <c r="E64" s="1" t="s">
        <v>107</v>
      </c>
      <c r="F64" s="1">
        <v>90</v>
      </c>
      <c r="G64" s="1" t="s">
        <v>246</v>
      </c>
      <c r="H64" s="17">
        <v>61.862053266560402</v>
      </c>
      <c r="I64" s="17">
        <v>70.87135707977626</v>
      </c>
      <c r="J64" s="42">
        <v>3.8203346026570166</v>
      </c>
      <c r="K64" s="17">
        <v>5.0977908916564196</v>
      </c>
      <c r="L64" s="42">
        <v>7.9841018062462688</v>
      </c>
      <c r="M64" s="1">
        <v>8.41</v>
      </c>
      <c r="N64" s="1">
        <v>2.2732814000000001</v>
      </c>
      <c r="O64" s="1">
        <v>0.69772619999999996</v>
      </c>
      <c r="P64" s="1">
        <v>0.11832139999999999</v>
      </c>
      <c r="Q64" s="1">
        <v>2.8720200000000001E-2</v>
      </c>
      <c r="R64" s="41">
        <v>42.358967413119231</v>
      </c>
      <c r="S64" s="41">
        <v>21.2717367980364</v>
      </c>
      <c r="T64" s="41">
        <v>15.33402029049121</v>
      </c>
      <c r="U64" s="41">
        <v>5.7532103245916204</v>
      </c>
      <c r="V64" s="17">
        <v>11.714100961980998</v>
      </c>
    </row>
    <row r="65" spans="1:22" x14ac:dyDescent="0.3">
      <c r="A65" s="1" t="s">
        <v>263</v>
      </c>
      <c r="B65" s="1" t="s">
        <v>68</v>
      </c>
      <c r="C65" s="1" t="s">
        <v>61</v>
      </c>
      <c r="D65" s="1">
        <v>2</v>
      </c>
      <c r="E65" s="1" t="s">
        <v>111</v>
      </c>
      <c r="F65" s="1">
        <v>90</v>
      </c>
      <c r="G65" s="1" t="s">
        <v>247</v>
      </c>
      <c r="H65" s="17">
        <v>60.331571784584398</v>
      </c>
      <c r="I65" s="17">
        <v>70.455544162882688</v>
      </c>
      <c r="J65" s="42">
        <v>3.6911076026570169</v>
      </c>
      <c r="K65" s="17">
        <v>5.0664978916564198</v>
      </c>
      <c r="L65" s="42">
        <v>8.5961893062462682</v>
      </c>
      <c r="M65" s="1">
        <v>8.36</v>
      </c>
      <c r="N65" s="1">
        <v>2.3833951</v>
      </c>
      <c r="O65" s="1">
        <v>0.73447059999999997</v>
      </c>
      <c r="P65" s="1">
        <v>0.1355633</v>
      </c>
      <c r="Q65" s="1">
        <v>3.8651699999999997E-2</v>
      </c>
      <c r="R65" s="41">
        <v>41.654067088624231</v>
      </c>
      <c r="S65" s="41">
        <v>20.427699081697035</v>
      </c>
      <c r="T65" s="41">
        <v>15.471291737081513</v>
      </c>
      <c r="U65" s="41">
        <v>5.7550762698456825</v>
      </c>
      <c r="V65" s="17">
        <v>11.197248278636101</v>
      </c>
    </row>
    <row r="66" spans="1:22" x14ac:dyDescent="0.3">
      <c r="A66" s="1" t="s">
        <v>263</v>
      </c>
      <c r="B66" s="1" t="s">
        <v>113</v>
      </c>
      <c r="C66" s="1" t="s">
        <v>20</v>
      </c>
      <c r="D66" s="1">
        <v>1</v>
      </c>
      <c r="E66" s="1" t="s">
        <v>118</v>
      </c>
      <c r="F66" s="1">
        <v>90</v>
      </c>
      <c r="G66" s="1" t="s">
        <v>248</v>
      </c>
      <c r="H66" s="17">
        <v>37.145781704557699</v>
      </c>
      <c r="I66" s="17">
        <v>64.902102973168965</v>
      </c>
      <c r="J66" s="42">
        <v>3.7577076026570166</v>
      </c>
      <c r="K66" s="17">
        <v>4.1104728916564195</v>
      </c>
      <c r="L66" s="42">
        <v>2.204783056246268</v>
      </c>
      <c r="M66" s="1">
        <v>9.0500000000000007</v>
      </c>
      <c r="N66" s="1">
        <v>4.80089E-2</v>
      </c>
      <c r="O66" s="1">
        <v>0</v>
      </c>
      <c r="P66" s="1">
        <v>0</v>
      </c>
      <c r="Q66" s="1">
        <v>0</v>
      </c>
      <c r="R66" s="41">
        <v>45.296875159663799</v>
      </c>
      <c r="S66" s="41">
        <v>22.62098692168998</v>
      </c>
      <c r="T66" s="41">
        <v>16.384269553351601</v>
      </c>
      <c r="U66" s="41">
        <v>6.29161868462222</v>
      </c>
      <c r="V66" s="17">
        <v>6.1579571924333445</v>
      </c>
    </row>
    <row r="67" spans="1:22" x14ac:dyDescent="0.3">
      <c r="A67" s="1" t="s">
        <v>263</v>
      </c>
      <c r="B67" s="1" t="s">
        <v>113</v>
      </c>
      <c r="C67" s="1" t="s">
        <v>20</v>
      </c>
      <c r="D67" s="1">
        <v>2</v>
      </c>
      <c r="E67" s="1" t="s">
        <v>126</v>
      </c>
      <c r="F67" s="1">
        <v>90</v>
      </c>
      <c r="G67" s="1" t="s">
        <v>249</v>
      </c>
      <c r="H67" s="17">
        <v>48.459515404846002</v>
      </c>
      <c r="I67" s="17">
        <v>58.996359854394179</v>
      </c>
      <c r="J67" s="42">
        <v>3.7577076026570166</v>
      </c>
      <c r="K67" s="17">
        <v>4.43246989165642</v>
      </c>
      <c r="L67" s="42">
        <v>4.2172643062462711</v>
      </c>
      <c r="M67" s="1">
        <v>9.06</v>
      </c>
      <c r="N67" s="1">
        <v>0</v>
      </c>
      <c r="O67" s="1">
        <v>0</v>
      </c>
      <c r="P67" s="1">
        <v>0</v>
      </c>
      <c r="Q67" s="1">
        <v>0</v>
      </c>
      <c r="R67" s="41">
        <v>40.883291163210643</v>
      </c>
      <c r="S67" s="41">
        <v>21.221532624495268</v>
      </c>
      <c r="T67" s="41">
        <v>14.179849626589579</v>
      </c>
      <c r="U67" s="41">
        <v>5.4819089121257969</v>
      </c>
      <c r="V67" s="17">
        <v>5.7274778581979309</v>
      </c>
    </row>
    <row r="68" spans="1:22" x14ac:dyDescent="0.3">
      <c r="A68" s="1" t="s">
        <v>263</v>
      </c>
      <c r="B68" s="1" t="s">
        <v>113</v>
      </c>
      <c r="C68" s="1" t="s">
        <v>37</v>
      </c>
      <c r="D68" s="1">
        <v>1</v>
      </c>
      <c r="E68" s="1" t="s">
        <v>134</v>
      </c>
      <c r="F68" s="1">
        <v>90</v>
      </c>
      <c r="G68" s="1" t="s">
        <v>250</v>
      </c>
      <c r="H68" s="17">
        <v>45.348081788962602</v>
      </c>
      <c r="I68" s="17">
        <v>66.050895381715378</v>
      </c>
      <c r="J68" s="42">
        <v>3.5931926026570169</v>
      </c>
      <c r="K68" s="17">
        <v>4.3191938916564201</v>
      </c>
      <c r="L68" s="42">
        <v>4.5375080562462697</v>
      </c>
      <c r="M68" s="1">
        <v>9.0299999999999994</v>
      </c>
      <c r="N68" s="1">
        <v>0</v>
      </c>
      <c r="O68" s="1">
        <v>0</v>
      </c>
      <c r="P68" s="1">
        <v>0</v>
      </c>
      <c r="Q68" s="1">
        <v>0</v>
      </c>
      <c r="R68" s="41">
        <v>41.010896758124929</v>
      </c>
      <c r="S68" s="41">
        <v>20.634313932702117</v>
      </c>
      <c r="T68" s="41">
        <v>14.535638605297052</v>
      </c>
      <c r="U68" s="41">
        <v>5.8409442201257606</v>
      </c>
      <c r="V68" s="17">
        <v>6.0001852963621154</v>
      </c>
    </row>
    <row r="69" spans="1:22" x14ac:dyDescent="0.3">
      <c r="A69" s="1" t="s">
        <v>263</v>
      </c>
      <c r="B69" s="1" t="s">
        <v>113</v>
      </c>
      <c r="C69" s="1" t="s">
        <v>37</v>
      </c>
      <c r="D69" s="1">
        <v>2</v>
      </c>
      <c r="E69" s="1" t="s">
        <v>142</v>
      </c>
      <c r="F69" s="1">
        <v>90</v>
      </c>
      <c r="G69" s="1" t="s">
        <v>251</v>
      </c>
      <c r="H69" s="17">
        <v>46.570423567345699</v>
      </c>
      <c r="I69" s="17">
        <v>67.36821400472067</v>
      </c>
      <c r="J69" s="42">
        <v>3.5931926026570169</v>
      </c>
      <c r="K69" s="17">
        <v>4.14010589165642</v>
      </c>
      <c r="L69" s="42">
        <v>3.4182080562462689</v>
      </c>
      <c r="M69" s="1">
        <v>8.58</v>
      </c>
      <c r="N69" s="1">
        <v>3.4174099999999999E-2</v>
      </c>
      <c r="O69" s="1">
        <v>0</v>
      </c>
      <c r="P69" s="1">
        <v>0</v>
      </c>
      <c r="Q69" s="1">
        <v>0</v>
      </c>
      <c r="R69" s="41">
        <v>41.604771757648358</v>
      </c>
      <c r="S69" s="41">
        <v>21.253551719020482</v>
      </c>
      <c r="T69" s="41">
        <v>14.457904539769055</v>
      </c>
      <c r="U69" s="41">
        <v>5.8933154988588203</v>
      </c>
      <c r="V69" s="17">
        <v>5.9041573298924028</v>
      </c>
    </row>
    <row r="70" spans="1:22" x14ac:dyDescent="0.3">
      <c r="A70" s="1" t="s">
        <v>263</v>
      </c>
      <c r="B70" s="1" t="s">
        <v>113</v>
      </c>
      <c r="C70" s="1" t="s">
        <v>54</v>
      </c>
      <c r="D70" s="1">
        <v>1</v>
      </c>
      <c r="E70" s="1" t="s">
        <v>146</v>
      </c>
      <c r="F70" s="1">
        <v>90</v>
      </c>
      <c r="G70" s="1" t="s">
        <v>252</v>
      </c>
      <c r="H70" s="17">
        <v>56.734689905507103</v>
      </c>
      <c r="I70" s="17">
        <v>67.598627787307052</v>
      </c>
      <c r="J70" s="42">
        <v>3.5755286026570166</v>
      </c>
      <c r="K70" s="17">
        <v>4.2664028916564201</v>
      </c>
      <c r="L70" s="42">
        <v>4.3179643062462718</v>
      </c>
      <c r="M70" s="1">
        <v>8.99</v>
      </c>
      <c r="N70" s="1">
        <v>9.9319599999999994E-2</v>
      </c>
      <c r="O70" s="1">
        <v>0</v>
      </c>
      <c r="P70" s="1">
        <v>0</v>
      </c>
      <c r="Q70" s="1">
        <v>0</v>
      </c>
      <c r="R70" s="41">
        <v>39.110302714317612</v>
      </c>
      <c r="S70" s="41">
        <v>19.556028935065335</v>
      </c>
      <c r="T70" s="41">
        <v>13.919155726855438</v>
      </c>
      <c r="U70" s="41">
        <v>5.6351180523968392</v>
      </c>
      <c r="V70" s="17">
        <v>6.4437937749337619</v>
      </c>
    </row>
    <row r="71" spans="1:22" x14ac:dyDescent="0.3">
      <c r="A71" s="1" t="s">
        <v>263</v>
      </c>
      <c r="B71" s="1" t="s">
        <v>113</v>
      </c>
      <c r="C71" s="1" t="s">
        <v>54</v>
      </c>
      <c r="D71" s="1">
        <v>2</v>
      </c>
      <c r="E71" s="1" t="s">
        <v>150</v>
      </c>
      <c r="F71" s="1">
        <v>90</v>
      </c>
      <c r="G71" s="1" t="s">
        <v>253</v>
      </c>
      <c r="H71" s="17">
        <v>55.131010250164401</v>
      </c>
      <c r="I71" s="17">
        <v>67.409579667644209</v>
      </c>
      <c r="J71" s="42">
        <v>3.5189156026570165</v>
      </c>
      <c r="K71" s="17">
        <v>4.3203148916564196</v>
      </c>
      <c r="L71" s="42">
        <v>5.0087455562462688</v>
      </c>
      <c r="M71" s="1">
        <v>9.0500000000000007</v>
      </c>
      <c r="N71" s="1">
        <v>0</v>
      </c>
      <c r="O71" s="1">
        <v>0</v>
      </c>
      <c r="P71" s="1">
        <v>0</v>
      </c>
      <c r="Q71" s="1">
        <v>0</v>
      </c>
      <c r="R71" s="41">
        <v>41.511531817733108</v>
      </c>
      <c r="S71" s="41">
        <v>20.549973468262454</v>
      </c>
      <c r="T71" s="41">
        <v>15.033540710497167</v>
      </c>
      <c r="U71" s="41">
        <v>5.9280176389734853</v>
      </c>
      <c r="V71" s="17">
        <v>6.1967851244372447</v>
      </c>
    </row>
    <row r="72" spans="1:22" x14ac:dyDescent="0.3">
      <c r="A72" s="1" t="s">
        <v>263</v>
      </c>
      <c r="B72" s="1" t="s">
        <v>113</v>
      </c>
      <c r="C72" s="1" t="s">
        <v>61</v>
      </c>
      <c r="D72" s="1">
        <v>1</v>
      </c>
      <c r="E72" s="1" t="s">
        <v>152</v>
      </c>
      <c r="F72" s="1">
        <v>90</v>
      </c>
      <c r="G72" s="1" t="s">
        <v>254</v>
      </c>
      <c r="H72" s="17">
        <v>57.517429524098198</v>
      </c>
      <c r="I72" s="17">
        <v>66.963109354413689</v>
      </c>
      <c r="J72" s="42">
        <v>2.2979906026570167</v>
      </c>
      <c r="K72" s="17">
        <v>3.2484758916564198</v>
      </c>
      <c r="L72" s="42">
        <v>5.9405330562462693</v>
      </c>
      <c r="M72" s="1">
        <v>8.51</v>
      </c>
      <c r="N72" s="1">
        <v>0</v>
      </c>
      <c r="O72" s="1">
        <v>0</v>
      </c>
      <c r="P72" s="1">
        <v>0</v>
      </c>
      <c r="Q72" s="1">
        <v>0</v>
      </c>
      <c r="R72" s="41">
        <v>41.613357782727086</v>
      </c>
      <c r="S72" s="41">
        <v>20.105161665850932</v>
      </c>
      <c r="T72" s="41">
        <v>15.809522606203084</v>
      </c>
      <c r="U72" s="41">
        <v>5.6986735106730695</v>
      </c>
      <c r="V72" s="17">
        <v>6.4619840598873051</v>
      </c>
    </row>
    <row r="73" spans="1:22" x14ac:dyDescent="0.3">
      <c r="A73" s="1" t="s">
        <v>263</v>
      </c>
      <c r="B73" s="1" t="s">
        <v>113</v>
      </c>
      <c r="C73" s="1" t="s">
        <v>61</v>
      </c>
      <c r="D73" s="1">
        <v>2</v>
      </c>
      <c r="E73" s="1" t="s">
        <v>156</v>
      </c>
      <c r="F73" s="1">
        <v>90</v>
      </c>
      <c r="G73" s="1" t="s">
        <v>255</v>
      </c>
      <c r="H73" s="17">
        <v>56.5707285961591</v>
      </c>
      <c r="I73" s="17">
        <v>67.41231209735146</v>
      </c>
      <c r="J73" s="42">
        <v>2.301776602657017</v>
      </c>
      <c r="K73" s="17">
        <v>3.0564968916564199</v>
      </c>
      <c r="L73" s="42">
        <v>4.7170018062462677</v>
      </c>
      <c r="M73" s="1">
        <v>8.2799999999999994</v>
      </c>
      <c r="N73" s="1">
        <v>4.4818299999999998E-2</v>
      </c>
      <c r="O73" s="1">
        <v>0</v>
      </c>
      <c r="P73" s="1">
        <v>0</v>
      </c>
      <c r="Q73" s="1">
        <v>0</v>
      </c>
      <c r="R73" s="41">
        <v>43.493157322548036</v>
      </c>
      <c r="S73" s="41">
        <v>20.83721693907658</v>
      </c>
      <c r="T73" s="41">
        <v>17.063314559538455</v>
      </c>
      <c r="U73" s="41">
        <v>5.5926258239329965</v>
      </c>
      <c r="V73" s="17">
        <v>7.1128821438526408</v>
      </c>
    </row>
    <row r="74" spans="1:22" x14ac:dyDescent="0.3">
      <c r="A74" s="1" t="s">
        <v>262</v>
      </c>
      <c r="B74" s="1" t="s">
        <v>19</v>
      </c>
      <c r="C74" s="1" t="s">
        <v>20</v>
      </c>
      <c r="D74" s="1">
        <v>1</v>
      </c>
      <c r="E74" s="1" t="s">
        <v>23</v>
      </c>
      <c r="F74" s="1" t="s">
        <v>257</v>
      </c>
      <c r="G74" s="1" t="s">
        <v>24</v>
      </c>
      <c r="H74" s="17">
        <v>50.7600184246891</v>
      </c>
      <c r="I74" s="17">
        <v>75.317604355716824</v>
      </c>
      <c r="J74" s="42">
        <v>2.8</v>
      </c>
      <c r="K74" s="17">
        <v>4.3589138967668797</v>
      </c>
      <c r="L74" s="42">
        <v>9.7432118547929694</v>
      </c>
      <c r="M74" s="1">
        <v>7.63</v>
      </c>
      <c r="N74" s="1">
        <v>7.0630252999999996</v>
      </c>
      <c r="O74" s="1">
        <v>3.9584961000000001</v>
      </c>
      <c r="P74" s="1">
        <v>1.1904813000000001</v>
      </c>
      <c r="Q74" s="1">
        <v>1.4092515999999999</v>
      </c>
      <c r="R74" s="17">
        <v>38.027904549004901</v>
      </c>
      <c r="S74" s="17">
        <v>22.643907450980393</v>
      </c>
      <c r="T74" s="17">
        <v>11.757738833028929</v>
      </c>
      <c r="U74" s="17">
        <v>3.6262582649955752</v>
      </c>
      <c r="V74" s="17">
        <v>11.204908067944022</v>
      </c>
    </row>
    <row r="75" spans="1:22" x14ac:dyDescent="0.3">
      <c r="A75" s="1" t="s">
        <v>262</v>
      </c>
      <c r="B75" s="1" t="s">
        <v>19</v>
      </c>
      <c r="C75" s="1" t="s">
        <v>20</v>
      </c>
      <c r="D75" s="1">
        <v>2</v>
      </c>
      <c r="E75" s="1" t="s">
        <v>31</v>
      </c>
      <c r="F75" s="1" t="s">
        <v>257</v>
      </c>
      <c r="G75" s="1" t="s">
        <v>32</v>
      </c>
      <c r="H75" s="17">
        <v>50.883414273977998</v>
      </c>
      <c r="I75" s="17">
        <v>75.229920294297997</v>
      </c>
      <c r="J75" s="42">
        <v>2.75</v>
      </c>
      <c r="K75" s="17">
        <v>4.3106013271782997</v>
      </c>
      <c r="L75" s="42">
        <v>9.7537582948644008</v>
      </c>
      <c r="M75" s="1">
        <v>7.66</v>
      </c>
      <c r="N75" s="1">
        <v>7.1702861999999996</v>
      </c>
      <c r="O75" s="1">
        <v>4.0507643</v>
      </c>
      <c r="P75" s="1">
        <v>1.2184716</v>
      </c>
      <c r="Q75" s="1">
        <v>1.4249772000000001</v>
      </c>
      <c r="R75" s="17">
        <v>35.787167901230291</v>
      </c>
      <c r="S75" s="17">
        <v>21.639455310166646</v>
      </c>
      <c r="T75" s="17">
        <v>10.748504843044717</v>
      </c>
      <c r="U75" s="17">
        <v>3.3992077480189229</v>
      </c>
      <c r="V75" s="17">
        <v>11.793190011737703</v>
      </c>
    </row>
    <row r="76" spans="1:22" x14ac:dyDescent="0.3">
      <c r="A76" s="1" t="s">
        <v>262</v>
      </c>
      <c r="B76" s="1" t="s">
        <v>19</v>
      </c>
      <c r="C76" s="1" t="s">
        <v>37</v>
      </c>
      <c r="D76" s="1">
        <v>1</v>
      </c>
      <c r="E76" s="1" t="s">
        <v>40</v>
      </c>
      <c r="F76" s="1" t="s">
        <v>257</v>
      </c>
      <c r="G76" s="1" t="s">
        <v>41</v>
      </c>
      <c r="H76" s="17">
        <v>53.192450103856203</v>
      </c>
      <c r="I76" s="17">
        <v>75.163715740965344</v>
      </c>
      <c r="J76" s="42">
        <v>2.2999999999999998</v>
      </c>
      <c r="K76" s="17">
        <v>4.3752143892916902</v>
      </c>
      <c r="L76" s="42">
        <v>12.970089933073099</v>
      </c>
      <c r="M76" s="1">
        <v>7.61</v>
      </c>
      <c r="N76" s="1">
        <v>8.3351585000000004</v>
      </c>
      <c r="O76" s="1">
        <v>4.7032018999999998</v>
      </c>
      <c r="P76" s="1">
        <v>1.2491827</v>
      </c>
      <c r="Q76" s="1">
        <v>1.6430943</v>
      </c>
      <c r="R76" s="17">
        <v>35.980903676560388</v>
      </c>
      <c r="S76" s="17">
        <v>20.91091949589093</v>
      </c>
      <c r="T76" s="17">
        <v>11.606792888150975</v>
      </c>
      <c r="U76" s="17">
        <v>3.4631912925184825</v>
      </c>
      <c r="V76" s="17">
        <v>11.492465426179809</v>
      </c>
    </row>
    <row r="77" spans="1:22" x14ac:dyDescent="0.3">
      <c r="A77" s="1" t="s">
        <v>262</v>
      </c>
      <c r="B77" s="1" t="s">
        <v>19</v>
      </c>
      <c r="C77" s="1" t="s">
        <v>37</v>
      </c>
      <c r="D77" s="1">
        <v>2</v>
      </c>
      <c r="E77" s="1" t="s">
        <v>48</v>
      </c>
      <c r="F77" s="1" t="s">
        <v>257</v>
      </c>
      <c r="G77" s="1" t="s">
        <v>49</v>
      </c>
      <c r="H77" s="17">
        <v>50.235988542669297</v>
      </c>
      <c r="I77" s="17">
        <v>75.023084025854047</v>
      </c>
      <c r="J77" s="42">
        <v>2.7</v>
      </c>
      <c r="K77" s="17">
        <v>4.3555462414578603</v>
      </c>
      <c r="L77" s="42">
        <v>10.3471640091116</v>
      </c>
      <c r="M77" s="1">
        <v>7.73</v>
      </c>
      <c r="N77" s="1">
        <v>7.4787248000000002</v>
      </c>
      <c r="O77" s="1">
        <v>4.1034248</v>
      </c>
      <c r="P77" s="1">
        <v>1.1612783</v>
      </c>
      <c r="Q77" s="1">
        <v>1.5526472</v>
      </c>
      <c r="R77" s="17">
        <v>36.082768145436198</v>
      </c>
      <c r="S77" s="17">
        <v>21.333393079928854</v>
      </c>
      <c r="T77" s="17">
        <v>11.302958125240099</v>
      </c>
      <c r="U77" s="17">
        <v>3.4464169402672469</v>
      </c>
      <c r="V77" s="17">
        <v>10.936763656863883</v>
      </c>
    </row>
    <row r="78" spans="1:22" x14ac:dyDescent="0.3">
      <c r="A78" s="1" t="s">
        <v>262</v>
      </c>
      <c r="B78" s="1" t="s">
        <v>19</v>
      </c>
      <c r="C78" s="1" t="s">
        <v>54</v>
      </c>
      <c r="D78" s="1">
        <v>1</v>
      </c>
      <c r="E78" s="1" t="s">
        <v>55</v>
      </c>
      <c r="F78" s="1" t="s">
        <v>257</v>
      </c>
      <c r="G78" s="1" t="s">
        <v>264</v>
      </c>
      <c r="H78" s="41">
        <v>67.699137365686298</v>
      </c>
      <c r="I78" s="41">
        <v>75.987332339791337</v>
      </c>
      <c r="J78" s="42">
        <v>2.7592029999999999</v>
      </c>
      <c r="K78" s="17">
        <v>4.8196370000000002</v>
      </c>
      <c r="L78" s="42">
        <v>12.877712499999999</v>
      </c>
      <c r="M78" s="1">
        <v>6.85</v>
      </c>
      <c r="N78" s="3">
        <v>18.3125678</v>
      </c>
      <c r="O78" s="1">
        <v>9.2767172999999996</v>
      </c>
      <c r="P78" s="1">
        <v>3.1397005</v>
      </c>
      <c r="Q78" s="1">
        <v>4.115507</v>
      </c>
      <c r="R78" s="17">
        <v>33.962743814539785</v>
      </c>
      <c r="S78" s="17">
        <v>20.441530007873702</v>
      </c>
      <c r="T78" s="17">
        <v>9.8423628163068191</v>
      </c>
      <c r="U78" s="17">
        <v>3.6788509903592659</v>
      </c>
      <c r="V78" s="17">
        <v>11.813552984090528</v>
      </c>
    </row>
    <row r="79" spans="1:22" x14ac:dyDescent="0.3">
      <c r="A79" s="1" t="s">
        <v>262</v>
      </c>
      <c r="B79" s="1" t="s">
        <v>19</v>
      </c>
      <c r="C79" s="1" t="s">
        <v>54</v>
      </c>
      <c r="D79" s="1">
        <v>2</v>
      </c>
      <c r="E79" s="1" t="s">
        <v>158</v>
      </c>
      <c r="F79" s="1" t="s">
        <v>257</v>
      </c>
      <c r="G79" s="1" t="s">
        <v>56</v>
      </c>
      <c r="H79" s="41">
        <v>68.529421294112751</v>
      </c>
      <c r="I79" s="31">
        <v>78.991003704357027</v>
      </c>
      <c r="J79" s="42">
        <v>2.7592029999999999</v>
      </c>
      <c r="K79" s="17">
        <v>4.8196370000000002</v>
      </c>
      <c r="L79" s="42">
        <v>12.877712499999999</v>
      </c>
      <c r="M79" s="1">
        <v>6.52</v>
      </c>
      <c r="N79" s="3">
        <v>21.988902300000003</v>
      </c>
      <c r="O79" s="1">
        <v>9.2767172999999996</v>
      </c>
      <c r="P79" s="1">
        <v>3.1397005</v>
      </c>
      <c r="Q79" s="1">
        <v>4.115507</v>
      </c>
      <c r="R79" s="17">
        <v>33.962743814539785</v>
      </c>
      <c r="S79" s="17">
        <v>20.441530007873702</v>
      </c>
      <c r="T79" s="17">
        <v>9.8423628163068191</v>
      </c>
      <c r="U79" s="17">
        <v>3.6788509903592659</v>
      </c>
      <c r="V79" s="17">
        <v>11.813552984090528</v>
      </c>
    </row>
    <row r="80" spans="1:22" x14ac:dyDescent="0.3">
      <c r="A80" s="1" t="s">
        <v>262</v>
      </c>
      <c r="B80" s="1" t="s">
        <v>19</v>
      </c>
      <c r="C80" s="1" t="s">
        <v>61</v>
      </c>
      <c r="D80" s="1">
        <v>1</v>
      </c>
      <c r="E80" s="1" t="s">
        <v>62</v>
      </c>
      <c r="F80" s="1" t="s">
        <v>257</v>
      </c>
      <c r="G80" s="1" t="s">
        <v>63</v>
      </c>
      <c r="H80" s="41">
        <v>65.769928065968799</v>
      </c>
      <c r="I80" s="41">
        <v>75.066690378801241</v>
      </c>
      <c r="J80" s="42">
        <v>2.6968860000000001</v>
      </c>
      <c r="K80" s="17">
        <v>4.7141260000000003</v>
      </c>
      <c r="L80" s="42">
        <v>12.607749999999999</v>
      </c>
      <c r="M80" s="1">
        <v>6.85</v>
      </c>
      <c r="N80" s="3">
        <v>17.463981700000001</v>
      </c>
      <c r="O80" s="1">
        <v>8.5931748999999993</v>
      </c>
      <c r="P80" s="1">
        <v>2.7780247999999998</v>
      </c>
      <c r="Q80" s="1">
        <v>4.1143070000000002</v>
      </c>
      <c r="R80" s="17">
        <v>34.939959712943278</v>
      </c>
      <c r="S80" s="17">
        <v>20.148326723377444</v>
      </c>
      <c r="T80" s="17">
        <v>11.042408438338635</v>
      </c>
      <c r="U80" s="17">
        <v>3.7492245512271976</v>
      </c>
      <c r="V80" s="17">
        <v>12.172507100916432</v>
      </c>
    </row>
    <row r="81" spans="1:22" x14ac:dyDescent="0.3">
      <c r="A81" s="1" t="s">
        <v>262</v>
      </c>
      <c r="B81" s="1" t="s">
        <v>19</v>
      </c>
      <c r="C81" s="1" t="s">
        <v>61</v>
      </c>
      <c r="D81" s="1">
        <v>2</v>
      </c>
      <c r="E81" s="1" t="s">
        <v>159</v>
      </c>
      <c r="F81" s="1" t="s">
        <v>257</v>
      </c>
      <c r="G81" s="1" t="s">
        <v>160</v>
      </c>
      <c r="H81" s="41">
        <v>65.124844714941119</v>
      </c>
      <c r="I81" s="31">
        <v>77.249444283367168</v>
      </c>
      <c r="J81" s="42">
        <v>2.6968860000000001</v>
      </c>
      <c r="K81" s="17">
        <v>4.7141260000000003</v>
      </c>
      <c r="L81" s="42">
        <v>12.607749999999999</v>
      </c>
      <c r="M81" s="1">
        <v>6.37</v>
      </c>
      <c r="N81" s="3">
        <v>23.0469747</v>
      </c>
      <c r="O81" s="1">
        <v>8.5931748999999993</v>
      </c>
      <c r="P81" s="1">
        <v>2.7780247999999998</v>
      </c>
      <c r="Q81" s="1">
        <v>4.1143070000000002</v>
      </c>
      <c r="R81" s="17">
        <v>34.939959712943278</v>
      </c>
      <c r="S81" s="17">
        <v>20.148326723377444</v>
      </c>
      <c r="T81" s="17">
        <v>11.042408438338635</v>
      </c>
      <c r="U81" s="17">
        <v>3.7492245512271976</v>
      </c>
      <c r="V81" s="17">
        <v>12.172507100916432</v>
      </c>
    </row>
    <row r="82" spans="1:22" x14ac:dyDescent="0.3">
      <c r="A82" s="1" t="s">
        <v>262</v>
      </c>
      <c r="B82" s="1" t="s">
        <v>68</v>
      </c>
      <c r="C82" s="1" t="s">
        <v>20</v>
      </c>
      <c r="D82" s="1">
        <v>1</v>
      </c>
      <c r="E82" s="1" t="s">
        <v>75</v>
      </c>
      <c r="F82" s="1" t="s">
        <v>257</v>
      </c>
      <c r="G82" s="1" t="s">
        <v>76</v>
      </c>
      <c r="H82" s="17">
        <v>50.7600184246891</v>
      </c>
      <c r="I82" s="17">
        <v>75.317604355716824</v>
      </c>
      <c r="J82" s="42">
        <v>2.8</v>
      </c>
      <c r="K82" s="17">
        <v>4.3589138967668797</v>
      </c>
      <c r="L82" s="42">
        <v>9.7432118547929694</v>
      </c>
      <c r="M82" s="1">
        <v>7.63</v>
      </c>
      <c r="N82" s="1">
        <v>7.0630252999999996</v>
      </c>
      <c r="O82" s="1">
        <v>3.9584961000000001</v>
      </c>
      <c r="P82" s="1">
        <v>1.1904813000000001</v>
      </c>
      <c r="Q82" s="1">
        <v>1.4092515999999999</v>
      </c>
      <c r="R82" s="17">
        <v>38.027904549004901</v>
      </c>
      <c r="S82" s="17">
        <v>22.643907450980393</v>
      </c>
      <c r="T82" s="17">
        <v>11.757738833028929</v>
      </c>
      <c r="U82" s="17">
        <v>3.6262582649955752</v>
      </c>
      <c r="V82" s="17">
        <v>11.204908067944022</v>
      </c>
    </row>
    <row r="83" spans="1:22" x14ac:dyDescent="0.3">
      <c r="A83" s="1" t="s">
        <v>262</v>
      </c>
      <c r="B83" s="1" t="s">
        <v>68</v>
      </c>
      <c r="C83" s="1" t="s">
        <v>20</v>
      </c>
      <c r="D83" s="1">
        <v>2</v>
      </c>
      <c r="E83" s="1" t="s">
        <v>83</v>
      </c>
      <c r="F83" s="1" t="s">
        <v>257</v>
      </c>
      <c r="G83" s="1" t="s">
        <v>84</v>
      </c>
      <c r="H83" s="17">
        <v>50.883414273977998</v>
      </c>
      <c r="I83" s="17">
        <v>75.229920294297997</v>
      </c>
      <c r="J83" s="42">
        <v>2.75</v>
      </c>
      <c r="K83" s="17">
        <v>4.3106013271782997</v>
      </c>
      <c r="L83" s="42">
        <v>9.7537582948644008</v>
      </c>
      <c r="M83" s="1">
        <v>7.66</v>
      </c>
      <c r="N83" s="1">
        <v>7.1702861999999996</v>
      </c>
      <c r="O83" s="1">
        <v>4.0507643</v>
      </c>
      <c r="P83" s="1">
        <v>1.2184716</v>
      </c>
      <c r="Q83" s="1">
        <v>1.4249772000000001</v>
      </c>
      <c r="R83" s="17">
        <v>35.787167901230291</v>
      </c>
      <c r="S83" s="17">
        <v>21.639455310166646</v>
      </c>
      <c r="T83" s="17">
        <v>10.748504843044717</v>
      </c>
      <c r="U83" s="17">
        <v>3.3992077480189229</v>
      </c>
      <c r="V83" s="17">
        <v>11.793190011737703</v>
      </c>
    </row>
    <row r="84" spans="1:22" x14ac:dyDescent="0.3">
      <c r="A84" s="1" t="s">
        <v>262</v>
      </c>
      <c r="B84" s="1" t="s">
        <v>68</v>
      </c>
      <c r="C84" s="1" t="s">
        <v>37</v>
      </c>
      <c r="D84" s="1">
        <v>1</v>
      </c>
      <c r="E84" s="1" t="s">
        <v>91</v>
      </c>
      <c r="F84" s="1" t="s">
        <v>257</v>
      </c>
      <c r="G84" s="1" t="s">
        <v>92</v>
      </c>
      <c r="H84" s="17">
        <v>53.192450103856203</v>
      </c>
      <c r="I84" s="17">
        <v>75.163715740965344</v>
      </c>
      <c r="J84" s="42">
        <v>2.2999999999999998</v>
      </c>
      <c r="K84" s="17">
        <v>4.3752143892916902</v>
      </c>
      <c r="L84" s="42">
        <v>12.970089933073099</v>
      </c>
      <c r="M84" s="1">
        <v>7.61</v>
      </c>
      <c r="N84" s="1">
        <v>8.3351585000000004</v>
      </c>
      <c r="O84" s="1">
        <v>4.7032018999999998</v>
      </c>
      <c r="P84" s="1">
        <v>1.2491827</v>
      </c>
      <c r="Q84" s="1">
        <v>1.6430943</v>
      </c>
      <c r="R84" s="17">
        <v>35.980903676560388</v>
      </c>
      <c r="S84" s="17">
        <v>20.91091949589093</v>
      </c>
      <c r="T84" s="17">
        <v>11.606792888150975</v>
      </c>
      <c r="U84" s="17">
        <v>3.4631912925184825</v>
      </c>
      <c r="V84" s="17">
        <v>11.492465426179809</v>
      </c>
    </row>
    <row r="85" spans="1:22" x14ac:dyDescent="0.3">
      <c r="A85" s="1" t="s">
        <v>262</v>
      </c>
      <c r="B85" s="1" t="s">
        <v>68</v>
      </c>
      <c r="C85" s="1" t="s">
        <v>37</v>
      </c>
      <c r="D85" s="1">
        <v>2</v>
      </c>
      <c r="E85" s="1" t="s">
        <v>99</v>
      </c>
      <c r="F85" s="1" t="s">
        <v>257</v>
      </c>
      <c r="G85" s="1" t="s">
        <v>100</v>
      </c>
      <c r="H85" s="17">
        <v>50.235988542669297</v>
      </c>
      <c r="I85" s="17">
        <v>75.023084025854047</v>
      </c>
      <c r="J85" s="42">
        <v>2.7</v>
      </c>
      <c r="K85" s="17">
        <v>4.3555462414578603</v>
      </c>
      <c r="L85" s="42">
        <v>10.3471640091116</v>
      </c>
      <c r="M85" s="1">
        <v>7.73</v>
      </c>
      <c r="N85" s="1">
        <v>7.4787248000000002</v>
      </c>
      <c r="O85" s="1">
        <v>4.1034248</v>
      </c>
      <c r="P85" s="1">
        <v>1.1612783</v>
      </c>
      <c r="Q85" s="1">
        <v>1.5526472</v>
      </c>
      <c r="R85" s="17">
        <v>36.082768145436198</v>
      </c>
      <c r="S85" s="17">
        <v>21.333393079928854</v>
      </c>
      <c r="T85" s="17">
        <v>11.302958125240099</v>
      </c>
      <c r="U85" s="17">
        <v>3.4464169402672469</v>
      </c>
      <c r="V85" s="17">
        <v>10.936763656863883</v>
      </c>
    </row>
    <row r="86" spans="1:22" x14ac:dyDescent="0.3">
      <c r="A86" s="1" t="s">
        <v>262</v>
      </c>
      <c r="B86" s="1" t="s">
        <v>68</v>
      </c>
      <c r="C86" s="1" t="s">
        <v>54</v>
      </c>
      <c r="D86" s="1">
        <v>1</v>
      </c>
      <c r="E86" s="1" t="s">
        <v>103</v>
      </c>
      <c r="F86" s="1" t="s">
        <v>257</v>
      </c>
      <c r="G86" s="1" t="s">
        <v>104</v>
      </c>
      <c r="H86" s="41">
        <v>67.699137365686298</v>
      </c>
      <c r="I86" s="41">
        <v>75.987332339791337</v>
      </c>
      <c r="J86" s="42">
        <v>2.7592029999999999</v>
      </c>
      <c r="K86" s="17">
        <v>5.0352589999999999</v>
      </c>
      <c r="L86" s="42">
        <v>14.225350000000001</v>
      </c>
      <c r="M86" s="1">
        <v>6.85</v>
      </c>
      <c r="N86" s="3">
        <v>18.3125678</v>
      </c>
      <c r="O86" s="1">
        <v>9.2767172999999996</v>
      </c>
      <c r="P86" s="1">
        <v>3.1397005</v>
      </c>
      <c r="Q86" s="1">
        <v>4.115507</v>
      </c>
      <c r="R86" s="17">
        <v>33.962743814539785</v>
      </c>
      <c r="S86" s="17">
        <v>20.441530007873702</v>
      </c>
      <c r="T86" s="17">
        <v>9.8423628163068191</v>
      </c>
      <c r="U86" s="17">
        <v>3.6788509903592659</v>
      </c>
      <c r="V86" s="17">
        <v>11.813552984090528</v>
      </c>
    </row>
    <row r="87" spans="1:22" x14ac:dyDescent="0.3">
      <c r="A87" s="1" t="s">
        <v>262</v>
      </c>
      <c r="B87" s="1" t="s">
        <v>68</v>
      </c>
      <c r="C87" s="1" t="s">
        <v>54</v>
      </c>
      <c r="D87" s="1">
        <v>2</v>
      </c>
      <c r="E87" s="1" t="s">
        <v>162</v>
      </c>
      <c r="F87" s="1" t="s">
        <v>257</v>
      </c>
      <c r="G87" s="1" t="s">
        <v>265</v>
      </c>
      <c r="H87" s="41">
        <v>68.529421294112751</v>
      </c>
      <c r="I87" s="31">
        <v>78.991003704357027</v>
      </c>
      <c r="J87" s="42">
        <v>2.7592029999999999</v>
      </c>
      <c r="K87" s="17">
        <v>4.8196370000000002</v>
      </c>
      <c r="L87" s="42">
        <v>12.877712499999999</v>
      </c>
      <c r="M87" s="1">
        <v>6.52</v>
      </c>
      <c r="N87" s="3">
        <v>21.988902300000003</v>
      </c>
      <c r="O87" s="1">
        <v>9.2767172999999996</v>
      </c>
      <c r="P87" s="1">
        <v>3.1397005</v>
      </c>
      <c r="Q87" s="1">
        <v>4.115507</v>
      </c>
      <c r="R87" s="17">
        <v>33.962743814539785</v>
      </c>
      <c r="S87" s="17">
        <v>20.441530007873702</v>
      </c>
      <c r="T87" s="17">
        <v>9.8423628163068191</v>
      </c>
      <c r="U87" s="17">
        <v>3.6788509903592659</v>
      </c>
      <c r="V87" s="17">
        <v>11.813552984090528</v>
      </c>
    </row>
    <row r="88" spans="1:22" x14ac:dyDescent="0.3">
      <c r="A88" s="1" t="s">
        <v>262</v>
      </c>
      <c r="B88" s="1" t="s">
        <v>68</v>
      </c>
      <c r="C88" s="1" t="s">
        <v>61</v>
      </c>
      <c r="D88" s="1">
        <v>1</v>
      </c>
      <c r="E88" s="1" t="s">
        <v>109</v>
      </c>
      <c r="F88" s="1" t="s">
        <v>257</v>
      </c>
      <c r="G88" s="1" t="s">
        <v>110</v>
      </c>
      <c r="H88" s="41">
        <v>65.769928065968799</v>
      </c>
      <c r="I88" s="41">
        <v>75.066690378801241</v>
      </c>
      <c r="J88" s="42">
        <v>2.6968860000000001</v>
      </c>
      <c r="K88" s="17">
        <v>4.9048179999999997</v>
      </c>
      <c r="L88" s="42">
        <v>13.799575000000001</v>
      </c>
      <c r="M88" s="1">
        <v>6.85</v>
      </c>
      <c r="N88" s="3">
        <v>17.463981700000001</v>
      </c>
      <c r="O88" s="1">
        <v>8.5931748999999993</v>
      </c>
      <c r="P88" s="1">
        <v>2.7780247999999998</v>
      </c>
      <c r="Q88" s="1">
        <v>4.1143070000000002</v>
      </c>
      <c r="R88" s="17">
        <v>34.939959712943278</v>
      </c>
      <c r="S88" s="17">
        <v>20.148326723377444</v>
      </c>
      <c r="T88" s="17">
        <v>11.042408438338635</v>
      </c>
      <c r="U88" s="17">
        <v>3.7492245512271976</v>
      </c>
      <c r="V88" s="17">
        <v>12.172507100916432</v>
      </c>
    </row>
    <row r="89" spans="1:22" x14ac:dyDescent="0.3">
      <c r="A89" s="1" t="s">
        <v>262</v>
      </c>
      <c r="B89" s="1" t="s">
        <v>68</v>
      </c>
      <c r="C89" s="1" t="s">
        <v>61</v>
      </c>
      <c r="D89" s="1">
        <v>2</v>
      </c>
      <c r="E89" s="1" t="s">
        <v>163</v>
      </c>
      <c r="F89" s="1" t="s">
        <v>257</v>
      </c>
      <c r="G89" s="1" t="s">
        <v>161</v>
      </c>
      <c r="H89" s="41">
        <v>65.124844714941119</v>
      </c>
      <c r="I89" s="31">
        <v>77.249444283367168</v>
      </c>
      <c r="J89" s="42">
        <v>2.6968860000000001</v>
      </c>
      <c r="K89" s="17">
        <v>4.9048179999999997</v>
      </c>
      <c r="L89" s="42">
        <v>13.799575000000001</v>
      </c>
      <c r="M89" s="1">
        <v>6.37</v>
      </c>
      <c r="N89" s="3">
        <v>23.0469747</v>
      </c>
      <c r="O89" s="1">
        <v>8.5931748999999993</v>
      </c>
      <c r="P89" s="1">
        <v>2.7780247999999998</v>
      </c>
      <c r="Q89" s="1">
        <v>4.1143070000000002</v>
      </c>
      <c r="R89" s="17">
        <v>34.939959712943278</v>
      </c>
      <c r="S89" s="17">
        <v>20.148326723377444</v>
      </c>
      <c r="T89" s="17">
        <v>11.042408438338635</v>
      </c>
      <c r="U89" s="17">
        <v>3.7492245512271976</v>
      </c>
      <c r="V89" s="17">
        <v>12.172507100916432</v>
      </c>
    </row>
    <row r="90" spans="1:22" x14ac:dyDescent="0.3">
      <c r="A90" s="1" t="s">
        <v>262</v>
      </c>
      <c r="B90" s="1" t="s">
        <v>113</v>
      </c>
      <c r="C90" s="1" t="s">
        <v>20</v>
      </c>
      <c r="D90" s="1">
        <v>1</v>
      </c>
      <c r="E90" s="1" t="s">
        <v>120</v>
      </c>
      <c r="F90" s="1" t="s">
        <v>257</v>
      </c>
      <c r="G90" s="1" t="s">
        <v>121</v>
      </c>
      <c r="H90" s="17">
        <v>50.7600184246891</v>
      </c>
      <c r="I90" s="17">
        <v>75.317604355716824</v>
      </c>
      <c r="J90" s="42">
        <v>2.8</v>
      </c>
      <c r="K90" s="17">
        <v>4.3589138967668797</v>
      </c>
      <c r="L90" s="42">
        <v>9.7432118547929694</v>
      </c>
      <c r="M90" s="1">
        <v>7.63</v>
      </c>
      <c r="N90" s="1">
        <v>7.0630252999999996</v>
      </c>
      <c r="O90" s="1">
        <v>3.9584961000000001</v>
      </c>
      <c r="P90" s="1">
        <v>1.1904813000000001</v>
      </c>
      <c r="Q90" s="1">
        <v>1.4092515999999999</v>
      </c>
      <c r="R90" s="17">
        <v>38.027904549004901</v>
      </c>
      <c r="S90" s="17">
        <v>22.643907450980393</v>
      </c>
      <c r="T90" s="17">
        <v>11.757738833028929</v>
      </c>
      <c r="U90" s="17">
        <v>3.6262582649955752</v>
      </c>
      <c r="V90" s="17">
        <v>11.204908067944022</v>
      </c>
    </row>
    <row r="91" spans="1:22" x14ac:dyDescent="0.3">
      <c r="A91" s="1" t="s">
        <v>262</v>
      </c>
      <c r="B91" s="1" t="s">
        <v>113</v>
      </c>
      <c r="C91" s="1" t="s">
        <v>20</v>
      </c>
      <c r="D91" s="1">
        <v>2</v>
      </c>
      <c r="E91" s="1" t="s">
        <v>128</v>
      </c>
      <c r="F91" s="1" t="s">
        <v>257</v>
      </c>
      <c r="G91" s="1" t="s">
        <v>129</v>
      </c>
      <c r="H91" s="17">
        <v>50.883414273977998</v>
      </c>
      <c r="I91" s="17">
        <v>75.229920294297997</v>
      </c>
      <c r="J91" s="42">
        <v>2.75</v>
      </c>
      <c r="K91" s="17">
        <v>4.3106013271782997</v>
      </c>
      <c r="L91" s="42">
        <v>9.7537582948644008</v>
      </c>
      <c r="M91" s="1">
        <v>7.66</v>
      </c>
      <c r="N91" s="1">
        <v>7.1702861999999996</v>
      </c>
      <c r="O91" s="1">
        <v>4.0507643</v>
      </c>
      <c r="P91" s="1">
        <v>1.2184716</v>
      </c>
      <c r="Q91" s="1">
        <v>1.4249772000000001</v>
      </c>
      <c r="R91" s="17">
        <v>35.787167901230291</v>
      </c>
      <c r="S91" s="17">
        <v>21.639455310166646</v>
      </c>
      <c r="T91" s="17">
        <v>10.748504843044717</v>
      </c>
      <c r="U91" s="17">
        <v>3.3992077480189229</v>
      </c>
      <c r="V91" s="17">
        <v>11.793190011737703</v>
      </c>
    </row>
    <row r="92" spans="1:22" x14ac:dyDescent="0.3">
      <c r="A92" s="1" t="s">
        <v>262</v>
      </c>
      <c r="B92" s="1" t="s">
        <v>113</v>
      </c>
      <c r="C92" s="1" t="s">
        <v>37</v>
      </c>
      <c r="D92" s="1">
        <v>1</v>
      </c>
      <c r="E92" s="1" t="s">
        <v>136</v>
      </c>
      <c r="F92" s="1" t="s">
        <v>257</v>
      </c>
      <c r="G92" s="1" t="s">
        <v>137</v>
      </c>
      <c r="H92" s="17">
        <v>53.192450103856203</v>
      </c>
      <c r="I92" s="17">
        <v>75.163715740965344</v>
      </c>
      <c r="J92" s="42">
        <v>2.2999999999999998</v>
      </c>
      <c r="K92" s="17">
        <v>4.3752143892916902</v>
      </c>
      <c r="L92" s="42">
        <v>12.970089933073099</v>
      </c>
      <c r="M92" s="1">
        <v>7.61</v>
      </c>
      <c r="N92" s="1">
        <v>8.3351585000000004</v>
      </c>
      <c r="O92" s="1">
        <v>4.7032018999999998</v>
      </c>
      <c r="P92" s="1">
        <v>1.2491827</v>
      </c>
      <c r="Q92" s="1">
        <v>1.6430943</v>
      </c>
      <c r="R92" s="17">
        <v>35.980903676560388</v>
      </c>
      <c r="S92" s="17">
        <v>20.91091949589093</v>
      </c>
      <c r="T92" s="17">
        <v>11.606792888150975</v>
      </c>
      <c r="U92" s="17">
        <v>3.4631912925184825</v>
      </c>
      <c r="V92" s="17">
        <v>11.492465426179809</v>
      </c>
    </row>
    <row r="93" spans="1:22" x14ac:dyDescent="0.3">
      <c r="A93" s="1" t="s">
        <v>262</v>
      </c>
      <c r="B93" s="1" t="s">
        <v>113</v>
      </c>
      <c r="C93" s="1" t="s">
        <v>37</v>
      </c>
      <c r="D93" s="1">
        <v>2</v>
      </c>
      <c r="E93" s="1" t="s">
        <v>144</v>
      </c>
      <c r="F93" s="1" t="s">
        <v>257</v>
      </c>
      <c r="G93" s="1" t="s">
        <v>145</v>
      </c>
      <c r="H93" s="17">
        <v>50.235988542669297</v>
      </c>
      <c r="I93" s="17">
        <v>75.023084025854047</v>
      </c>
      <c r="J93" s="42">
        <v>2.7</v>
      </c>
      <c r="K93" s="17">
        <v>4.3555462414578603</v>
      </c>
      <c r="L93" s="42">
        <v>10.3471640091116</v>
      </c>
      <c r="M93" s="1">
        <v>7.73</v>
      </c>
      <c r="N93" s="1">
        <v>7.4787248000000002</v>
      </c>
      <c r="O93" s="1">
        <v>4.1034248</v>
      </c>
      <c r="P93" s="1">
        <v>1.1612783</v>
      </c>
      <c r="Q93" s="1">
        <v>1.5526472</v>
      </c>
      <c r="R93" s="17">
        <v>36.082768145436198</v>
      </c>
      <c r="S93" s="17">
        <v>21.333393079928854</v>
      </c>
      <c r="T93" s="17">
        <v>11.302958125240099</v>
      </c>
      <c r="U93" s="17">
        <v>3.4464169402672469</v>
      </c>
      <c r="V93" s="17">
        <v>10.936763656863883</v>
      </c>
    </row>
    <row r="94" spans="1:22" x14ac:dyDescent="0.3">
      <c r="A94" s="1" t="s">
        <v>262</v>
      </c>
      <c r="B94" s="1" t="s">
        <v>113</v>
      </c>
      <c r="C94" s="1" t="s">
        <v>54</v>
      </c>
      <c r="D94" s="1">
        <v>1</v>
      </c>
      <c r="E94" s="1" t="s">
        <v>148</v>
      </c>
      <c r="F94" s="1" t="s">
        <v>257</v>
      </c>
      <c r="G94" s="1" t="s">
        <v>149</v>
      </c>
      <c r="H94" s="41">
        <v>67.699137365686298</v>
      </c>
      <c r="I94" s="41">
        <v>75.987332339791337</v>
      </c>
      <c r="J94" s="42">
        <v>2.7592029999999999</v>
      </c>
      <c r="K94" s="17">
        <v>4.8196370000000002</v>
      </c>
      <c r="L94" s="42">
        <v>12.877712499999999</v>
      </c>
      <c r="M94" s="1">
        <v>6.85</v>
      </c>
      <c r="N94" s="3">
        <v>18.3125678</v>
      </c>
      <c r="O94" s="1">
        <v>9.2767172999999996</v>
      </c>
      <c r="P94" s="1">
        <v>3.1397005</v>
      </c>
      <c r="Q94" s="1">
        <v>4.115507</v>
      </c>
      <c r="R94" s="17">
        <v>33.962743814539785</v>
      </c>
      <c r="S94" s="17">
        <v>20.441530007873702</v>
      </c>
      <c r="T94" s="17">
        <v>9.8423628163068191</v>
      </c>
      <c r="U94" s="17">
        <v>3.6788509903592659</v>
      </c>
      <c r="V94" s="17">
        <v>11.813552984090528</v>
      </c>
    </row>
    <row r="95" spans="1:22" x14ac:dyDescent="0.3">
      <c r="A95" s="1" t="s">
        <v>262</v>
      </c>
      <c r="B95" s="1" t="s">
        <v>113</v>
      </c>
      <c r="C95" s="1" t="s">
        <v>54</v>
      </c>
      <c r="D95" s="1">
        <v>2</v>
      </c>
      <c r="E95" s="1" t="s">
        <v>165</v>
      </c>
      <c r="F95" s="1" t="s">
        <v>257</v>
      </c>
      <c r="G95" s="1" t="s">
        <v>266</v>
      </c>
      <c r="H95" s="41">
        <v>68.529421294112751</v>
      </c>
      <c r="I95" s="31">
        <v>78.991003704357027</v>
      </c>
      <c r="J95" s="42">
        <v>2.7592029999999999</v>
      </c>
      <c r="K95" s="17">
        <v>4.8196370000000002</v>
      </c>
      <c r="L95" s="42">
        <v>12.877712499999999</v>
      </c>
      <c r="M95" s="1">
        <v>6.52</v>
      </c>
      <c r="N95" s="3">
        <v>21.988902300000003</v>
      </c>
      <c r="O95" s="1">
        <v>9.2767172999999996</v>
      </c>
      <c r="P95" s="1">
        <v>3.1397005</v>
      </c>
      <c r="Q95" s="1">
        <v>4.115507</v>
      </c>
      <c r="R95" s="17">
        <v>33.962743814539785</v>
      </c>
      <c r="S95" s="17">
        <v>20.441530007873702</v>
      </c>
      <c r="T95" s="17">
        <v>9.8423628163068191</v>
      </c>
      <c r="U95" s="17">
        <v>3.6788509903592659</v>
      </c>
      <c r="V95" s="17">
        <v>11.813552984090528</v>
      </c>
    </row>
    <row r="96" spans="1:22" x14ac:dyDescent="0.3">
      <c r="A96" s="1" t="s">
        <v>262</v>
      </c>
      <c r="B96" s="1" t="s">
        <v>113</v>
      </c>
      <c r="C96" s="1" t="s">
        <v>61</v>
      </c>
      <c r="D96" s="1">
        <v>1</v>
      </c>
      <c r="E96" s="1" t="s">
        <v>154</v>
      </c>
      <c r="F96" s="1" t="s">
        <v>257</v>
      </c>
      <c r="G96" s="1" t="s">
        <v>155</v>
      </c>
      <c r="H96" s="41">
        <v>65.769928065968799</v>
      </c>
      <c r="I96" s="41">
        <v>75.066690378801241</v>
      </c>
      <c r="J96" s="42">
        <v>2.6968860000000001</v>
      </c>
      <c r="K96" s="17">
        <v>4.7141260000000003</v>
      </c>
      <c r="L96" s="42">
        <v>12.607749999999999</v>
      </c>
      <c r="M96" s="1">
        <v>6.85</v>
      </c>
      <c r="N96" s="3">
        <v>17.463981700000001</v>
      </c>
      <c r="O96" s="1">
        <v>8.5931748999999993</v>
      </c>
      <c r="P96" s="1">
        <v>2.7780247999999998</v>
      </c>
      <c r="Q96" s="1">
        <v>4.1143070000000002</v>
      </c>
      <c r="R96" s="17">
        <v>34.939959712943278</v>
      </c>
      <c r="S96" s="17">
        <v>20.148326723377444</v>
      </c>
      <c r="T96" s="17">
        <v>11.042408438338635</v>
      </c>
      <c r="U96" s="17">
        <v>3.7492245512271976</v>
      </c>
      <c r="V96" s="17">
        <v>12.172507100916432</v>
      </c>
    </row>
    <row r="97" spans="1:22" x14ac:dyDescent="0.3">
      <c r="A97" s="1" t="s">
        <v>262</v>
      </c>
      <c r="B97" s="1" t="s">
        <v>113</v>
      </c>
      <c r="C97" s="1" t="s">
        <v>61</v>
      </c>
      <c r="D97" s="1">
        <v>2</v>
      </c>
      <c r="E97" s="1" t="s">
        <v>166</v>
      </c>
      <c r="F97" s="1" t="s">
        <v>257</v>
      </c>
      <c r="G97" s="1" t="s">
        <v>164</v>
      </c>
      <c r="H97" s="41">
        <v>65.124844714941119</v>
      </c>
      <c r="I97" s="31">
        <v>77.249444283367168</v>
      </c>
      <c r="J97" s="42">
        <v>2.6968860000000001</v>
      </c>
      <c r="K97" s="17">
        <v>4.7141260000000003</v>
      </c>
      <c r="L97" s="42">
        <v>12.607749999999999</v>
      </c>
      <c r="M97" s="1">
        <v>6.37</v>
      </c>
      <c r="N97" s="3">
        <v>23.0469747</v>
      </c>
      <c r="O97" s="1">
        <v>8.5931748999999993</v>
      </c>
      <c r="P97" s="1">
        <v>2.7780247999999998</v>
      </c>
      <c r="Q97" s="1">
        <v>4.1143070000000002</v>
      </c>
      <c r="R97" s="17">
        <v>34.939959712943278</v>
      </c>
      <c r="S97" s="17">
        <v>20.148326723377444</v>
      </c>
      <c r="T97" s="17">
        <v>11.042408438338635</v>
      </c>
      <c r="U97" s="17">
        <v>3.7492245512271976</v>
      </c>
      <c r="V97" s="17">
        <v>12.172507100916432</v>
      </c>
    </row>
    <row r="98" spans="1:22" x14ac:dyDescent="0.3">
      <c r="A98" s="1" t="s">
        <v>262</v>
      </c>
      <c r="B98" s="1" t="s">
        <v>19</v>
      </c>
      <c r="C98" s="1" t="s">
        <v>20</v>
      </c>
      <c r="D98" s="1">
        <v>1</v>
      </c>
      <c r="E98" s="1" t="s">
        <v>21</v>
      </c>
      <c r="F98" s="1" t="s">
        <v>256</v>
      </c>
      <c r="G98" s="1" t="s">
        <v>22</v>
      </c>
      <c r="H98" s="17">
        <v>53.303024679903501</v>
      </c>
      <c r="I98" s="17">
        <v>73.912097476066194</v>
      </c>
      <c r="J98" s="42">
        <v>3.45</v>
      </c>
      <c r="K98" s="17">
        <v>4.4396385108756302</v>
      </c>
      <c r="L98" s="42">
        <v>6.1852406929726698</v>
      </c>
      <c r="M98" s="1">
        <v>7.42</v>
      </c>
      <c r="N98" s="1">
        <v>9.2215568000000001</v>
      </c>
      <c r="O98" s="1">
        <v>4.7076814999999996</v>
      </c>
      <c r="P98" s="1">
        <v>1.6151257000000001</v>
      </c>
      <c r="Q98" s="1">
        <v>2.0376808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</row>
    <row r="99" spans="1:22" x14ac:dyDescent="0.3">
      <c r="A99" s="1" t="s">
        <v>262</v>
      </c>
      <c r="B99" s="1" t="s">
        <v>19</v>
      </c>
      <c r="C99" s="1" t="s">
        <v>20</v>
      </c>
      <c r="D99" s="1">
        <v>2</v>
      </c>
      <c r="E99" s="1" t="s">
        <v>29</v>
      </c>
      <c r="F99" s="1" t="s">
        <v>256</v>
      </c>
      <c r="G99" s="1" t="s">
        <v>30</v>
      </c>
      <c r="H99" s="17">
        <v>53.169953319996203</v>
      </c>
      <c r="I99" s="17">
        <v>74.176931690929521</v>
      </c>
      <c r="J99" s="42">
        <v>3.4</v>
      </c>
      <c r="K99" s="17">
        <v>4.38743696397942</v>
      </c>
      <c r="L99" s="42">
        <v>6.1714810248713503</v>
      </c>
      <c r="M99" s="1">
        <v>7.59</v>
      </c>
      <c r="N99" s="1">
        <v>9.6590111000000007</v>
      </c>
      <c r="O99" s="1">
        <v>4.8121770000000001</v>
      </c>
      <c r="P99" s="1">
        <v>1.850252</v>
      </c>
      <c r="Q99" s="1">
        <v>2.1181499000000001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</row>
    <row r="100" spans="1:22" x14ac:dyDescent="0.3">
      <c r="A100" s="1" t="s">
        <v>262</v>
      </c>
      <c r="B100" s="1" t="s">
        <v>19</v>
      </c>
      <c r="C100" s="1" t="s">
        <v>37</v>
      </c>
      <c r="D100" s="1">
        <v>1</v>
      </c>
      <c r="E100" s="1" t="s">
        <v>38</v>
      </c>
      <c r="F100" s="1" t="s">
        <v>256</v>
      </c>
      <c r="G100" s="1" t="s">
        <v>39</v>
      </c>
      <c r="H100" s="17">
        <v>52.703895121643797</v>
      </c>
      <c r="I100" s="17">
        <v>73.666586940923182</v>
      </c>
      <c r="J100" s="42">
        <v>3.55</v>
      </c>
      <c r="K100" s="17">
        <v>4.2994166946308701</v>
      </c>
      <c r="L100" s="42">
        <v>4.6838543414429603</v>
      </c>
      <c r="M100" s="1">
        <v>7.48</v>
      </c>
      <c r="N100" s="1">
        <v>11.611908700000001</v>
      </c>
      <c r="O100" s="1">
        <v>5.7554898999999997</v>
      </c>
      <c r="P100" s="1">
        <v>1.91292</v>
      </c>
      <c r="Q100" s="1">
        <v>2.7057368999999998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</row>
    <row r="101" spans="1:22" x14ac:dyDescent="0.3">
      <c r="A101" s="1" t="s">
        <v>262</v>
      </c>
      <c r="B101" s="1" t="s">
        <v>19</v>
      </c>
      <c r="C101" s="1" t="s">
        <v>37</v>
      </c>
      <c r="D101" s="1">
        <v>2</v>
      </c>
      <c r="E101" s="1" t="s">
        <v>46</v>
      </c>
      <c r="F101" s="1" t="s">
        <v>256</v>
      </c>
      <c r="G101" s="1" t="s">
        <v>47</v>
      </c>
      <c r="H101" s="17">
        <v>54.268737106079101</v>
      </c>
      <c r="I101" s="17">
        <v>74.254495788754951</v>
      </c>
      <c r="J101" s="42">
        <v>3.45</v>
      </c>
      <c r="K101" s="17">
        <v>4.2846327595936797</v>
      </c>
      <c r="L101" s="42">
        <v>5.2164547474605003</v>
      </c>
      <c r="M101" s="1">
        <v>7.64</v>
      </c>
      <c r="N101" s="1">
        <v>8.3370461000000002</v>
      </c>
      <c r="O101" s="1">
        <v>4.1216464999999998</v>
      </c>
      <c r="P101" s="1">
        <v>1.1030039</v>
      </c>
      <c r="Q101" s="1">
        <v>2.1106623999999998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</row>
    <row r="102" spans="1:22" x14ac:dyDescent="0.3">
      <c r="A102" s="1" t="s">
        <v>262</v>
      </c>
      <c r="B102" s="1" t="s">
        <v>68</v>
      </c>
      <c r="C102" s="1" t="s">
        <v>20</v>
      </c>
      <c r="D102" s="1">
        <v>1</v>
      </c>
      <c r="E102" s="1" t="s">
        <v>69</v>
      </c>
      <c r="F102" s="1" t="s">
        <v>256</v>
      </c>
      <c r="G102" s="1" t="s">
        <v>70</v>
      </c>
      <c r="H102" s="17">
        <v>50.351607837782502</v>
      </c>
      <c r="I102" s="17">
        <v>72.655367231638408</v>
      </c>
      <c r="J102" s="42">
        <v>3.7</v>
      </c>
      <c r="K102" s="17">
        <v>4.4975211560364503</v>
      </c>
      <c r="L102" s="42">
        <v>4.98450722522779</v>
      </c>
      <c r="M102" s="1">
        <v>7.67</v>
      </c>
      <c r="N102" s="1">
        <v>8.3326437000000002</v>
      </c>
      <c r="O102" s="1">
        <v>4.4375945000000003</v>
      </c>
      <c r="P102" s="1">
        <v>1.4517230999999999</v>
      </c>
      <c r="Q102" s="1">
        <v>1.5813622000000001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</row>
    <row r="103" spans="1:22" x14ac:dyDescent="0.3">
      <c r="A103" s="1" t="s">
        <v>262</v>
      </c>
      <c r="B103" s="1" t="s">
        <v>68</v>
      </c>
      <c r="C103" s="1" t="s">
        <v>20</v>
      </c>
      <c r="D103" s="1">
        <v>2</v>
      </c>
      <c r="E103" s="1" t="s">
        <v>77</v>
      </c>
      <c r="F103" s="1" t="s">
        <v>256</v>
      </c>
      <c r="G103" s="1" t="s">
        <v>78</v>
      </c>
      <c r="H103" s="17">
        <v>53.151269378617002</v>
      </c>
      <c r="I103" s="17">
        <v>72.91873634015505</v>
      </c>
      <c r="J103" s="42">
        <v>3.65</v>
      </c>
      <c r="K103" s="17">
        <v>4.50480685763889</v>
      </c>
      <c r="L103" s="42">
        <v>5.3425428602430598</v>
      </c>
      <c r="M103" s="1">
        <v>7.79</v>
      </c>
      <c r="N103" s="1">
        <v>8.6123170000000009</v>
      </c>
      <c r="O103" s="1">
        <v>4.7040708000000002</v>
      </c>
      <c r="P103" s="1">
        <v>1.8196654000000001</v>
      </c>
      <c r="Q103" s="1">
        <v>1.3783626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</row>
    <row r="104" spans="1:22" x14ac:dyDescent="0.3">
      <c r="A104" s="1" t="s">
        <v>262</v>
      </c>
      <c r="B104" s="1" t="s">
        <v>68</v>
      </c>
      <c r="C104" s="1" t="s">
        <v>37</v>
      </c>
      <c r="D104" s="1">
        <v>1</v>
      </c>
      <c r="E104" s="1" t="s">
        <v>85</v>
      </c>
      <c r="F104" s="1" t="s">
        <v>256</v>
      </c>
      <c r="G104" s="1" t="s">
        <v>86</v>
      </c>
      <c r="H104" s="17">
        <v>52.272339457368702</v>
      </c>
      <c r="I104" s="17">
        <v>73.166485310119739</v>
      </c>
      <c r="J104" s="42">
        <v>3.4</v>
      </c>
      <c r="K104" s="17">
        <v>4.3417676368876101</v>
      </c>
      <c r="L104" s="42">
        <v>5.88604773054755</v>
      </c>
      <c r="M104" s="1">
        <v>7.83</v>
      </c>
      <c r="N104" s="1">
        <v>8.8249913000000006</v>
      </c>
      <c r="O104" s="1">
        <v>4.9796899000000003</v>
      </c>
      <c r="P104" s="1">
        <v>1.9065858</v>
      </c>
      <c r="Q104" s="1">
        <v>1.1403525000000001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</row>
    <row r="105" spans="1:22" x14ac:dyDescent="0.3">
      <c r="A105" s="1" t="s">
        <v>262</v>
      </c>
      <c r="B105" s="1" t="s">
        <v>68</v>
      </c>
      <c r="C105" s="1" t="s">
        <v>37</v>
      </c>
      <c r="D105" s="1">
        <v>2</v>
      </c>
      <c r="E105" s="1" t="s">
        <v>93</v>
      </c>
      <c r="F105" s="1" t="s">
        <v>256</v>
      </c>
      <c r="G105" s="1" t="s">
        <v>94</v>
      </c>
      <c r="H105" s="17">
        <v>52.4558196221816</v>
      </c>
      <c r="I105" s="17">
        <v>73.257434944237971</v>
      </c>
      <c r="J105" s="42">
        <v>3.15</v>
      </c>
      <c r="K105" s="17">
        <v>4.40360684029765</v>
      </c>
      <c r="L105" s="42">
        <v>7.8350427518603301</v>
      </c>
      <c r="M105" s="1">
        <v>7.73</v>
      </c>
      <c r="N105" s="1">
        <v>8.2953904999999999</v>
      </c>
      <c r="O105" s="1">
        <v>4.3695496</v>
      </c>
      <c r="P105" s="1">
        <v>1.7780545999999999</v>
      </c>
      <c r="Q105" s="1">
        <v>1.3307255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</row>
    <row r="106" spans="1:22" x14ac:dyDescent="0.3">
      <c r="A106" s="1" t="s">
        <v>262</v>
      </c>
      <c r="B106" s="1" t="s">
        <v>113</v>
      </c>
      <c r="C106" s="1" t="s">
        <v>20</v>
      </c>
      <c r="D106" s="1">
        <v>1</v>
      </c>
      <c r="E106" s="1" t="s">
        <v>114</v>
      </c>
      <c r="F106" s="1" t="s">
        <v>256</v>
      </c>
      <c r="G106" s="1" t="s">
        <v>115</v>
      </c>
      <c r="H106" s="17">
        <v>50.166355270914302</v>
      </c>
      <c r="I106" s="17">
        <v>71.778530173272287</v>
      </c>
      <c r="J106" s="42">
        <v>3.7</v>
      </c>
      <c r="K106" s="17">
        <v>4.62833811852704</v>
      </c>
      <c r="L106" s="42">
        <v>5.8021132407940197</v>
      </c>
      <c r="M106" s="1">
        <v>7.21</v>
      </c>
      <c r="N106" s="1">
        <v>14.1266555</v>
      </c>
      <c r="O106" s="1">
        <v>7.0863563999999997</v>
      </c>
      <c r="P106" s="1">
        <v>3.1547714</v>
      </c>
      <c r="Q106" s="1">
        <v>2.6123794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</row>
    <row r="107" spans="1:22" x14ac:dyDescent="0.3">
      <c r="A107" s="1" t="s">
        <v>262</v>
      </c>
      <c r="B107" s="1" t="s">
        <v>113</v>
      </c>
      <c r="C107" s="1" t="s">
        <v>20</v>
      </c>
      <c r="D107" s="1">
        <v>2</v>
      </c>
      <c r="E107" s="1" t="s">
        <v>122</v>
      </c>
      <c r="F107" s="1" t="s">
        <v>256</v>
      </c>
      <c r="G107" s="1" t="s">
        <v>123</v>
      </c>
      <c r="H107" s="17">
        <v>51.1188130215805</v>
      </c>
      <c r="I107" s="17">
        <v>72.511265874641509</v>
      </c>
      <c r="J107" s="42">
        <v>3.75</v>
      </c>
      <c r="K107" s="17">
        <v>4.2138425217391298</v>
      </c>
      <c r="L107" s="42">
        <v>2.8990157608695601</v>
      </c>
      <c r="M107" s="1">
        <v>6.92</v>
      </c>
      <c r="N107" s="1">
        <v>13.097588399999999</v>
      </c>
      <c r="O107" s="1">
        <v>6.5903309999999999</v>
      </c>
      <c r="P107" s="1">
        <v>2.9369926</v>
      </c>
      <c r="Q107" s="1">
        <v>2.3849480999999999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</row>
    <row r="108" spans="1:22" x14ac:dyDescent="0.3">
      <c r="A108" s="1" t="s">
        <v>262</v>
      </c>
      <c r="B108" s="1" t="s">
        <v>113</v>
      </c>
      <c r="C108" s="1" t="s">
        <v>37</v>
      </c>
      <c r="D108" s="1">
        <v>1</v>
      </c>
      <c r="E108" s="1" t="s">
        <v>130</v>
      </c>
      <c r="F108" s="1" t="s">
        <v>256</v>
      </c>
      <c r="G108" s="1" t="s">
        <v>131</v>
      </c>
      <c r="H108" s="17">
        <v>47.222948404116302</v>
      </c>
      <c r="I108" s="17">
        <v>72.093608454957064</v>
      </c>
      <c r="J108" s="42">
        <v>3.9</v>
      </c>
      <c r="K108" s="17">
        <v>4.2033928771733002</v>
      </c>
      <c r="L108" s="42">
        <v>1.89620548233315</v>
      </c>
      <c r="M108" s="1">
        <v>6.96</v>
      </c>
      <c r="N108" s="1">
        <v>13.898761199999999</v>
      </c>
      <c r="O108" s="1">
        <v>6.8717344999999996</v>
      </c>
      <c r="P108" s="1">
        <v>3.0799479000000001</v>
      </c>
      <c r="Q108" s="1">
        <v>2.5906596999999998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</row>
    <row r="109" spans="1:22" x14ac:dyDescent="0.3">
      <c r="A109" s="1" t="s">
        <v>262</v>
      </c>
      <c r="B109" s="1" t="s">
        <v>113</v>
      </c>
      <c r="C109" s="1" t="s">
        <v>37</v>
      </c>
      <c r="D109" s="1">
        <v>2</v>
      </c>
      <c r="E109" s="1" t="s">
        <v>138</v>
      </c>
      <c r="F109" s="1" t="s">
        <v>256</v>
      </c>
      <c r="G109" s="1" t="s">
        <v>139</v>
      </c>
      <c r="H109" s="17">
        <v>48.697201395590497</v>
      </c>
      <c r="I109" s="17">
        <v>71.341463414634134</v>
      </c>
      <c r="J109" s="42">
        <v>4</v>
      </c>
      <c r="K109" s="17">
        <v>4.4747246201463096</v>
      </c>
      <c r="L109" s="42">
        <v>2.9670288759144601</v>
      </c>
      <c r="M109" s="1">
        <v>6.89</v>
      </c>
      <c r="N109" s="1">
        <v>13.8851294</v>
      </c>
      <c r="O109" s="1">
        <v>6.8219246</v>
      </c>
      <c r="P109" s="1">
        <v>3.0287875</v>
      </c>
      <c r="Q109" s="1">
        <v>2.6053462000000001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</row>
    <row r="110" spans="1:22" x14ac:dyDescent="0.3">
      <c r="A110" s="1" t="s">
        <v>262</v>
      </c>
      <c r="B110" s="1" t="s">
        <v>19</v>
      </c>
      <c r="C110" s="1" t="s">
        <v>20</v>
      </c>
      <c r="D110" s="1">
        <v>1</v>
      </c>
      <c r="E110" s="1" t="s">
        <v>25</v>
      </c>
      <c r="F110" s="1" t="s">
        <v>258</v>
      </c>
      <c r="G110" s="1" t="s">
        <v>26</v>
      </c>
      <c r="H110" s="17">
        <v>49.332054684538001</v>
      </c>
      <c r="I110" s="17">
        <v>73.66636528028944</v>
      </c>
      <c r="J110" s="42">
        <v>3.5</v>
      </c>
      <c r="K110" s="17">
        <v>4.3890044293015302</v>
      </c>
      <c r="L110" s="42">
        <v>5.5562776831345904</v>
      </c>
      <c r="M110" s="1">
        <v>6.91</v>
      </c>
      <c r="N110" s="1">
        <v>9.3217213999999995</v>
      </c>
      <c r="O110" s="1">
        <v>4.5255399000000001</v>
      </c>
      <c r="P110" s="1">
        <v>1.9084555999999999</v>
      </c>
      <c r="Q110" s="1">
        <v>2.0391485999999999</v>
      </c>
      <c r="R110" s="17">
        <v>35.092053274504337</v>
      </c>
      <c r="S110" s="17">
        <v>21.051443601752972</v>
      </c>
      <c r="T110" s="17">
        <v>10.220629989238033</v>
      </c>
      <c r="U110" s="17">
        <v>3.8199796835133317</v>
      </c>
      <c r="V110" s="17">
        <v>11.611041507463117</v>
      </c>
    </row>
    <row r="111" spans="1:22" x14ac:dyDescent="0.3">
      <c r="A111" s="1" t="s">
        <v>262</v>
      </c>
      <c r="B111" s="1" t="s">
        <v>19</v>
      </c>
      <c r="C111" s="1" t="s">
        <v>20</v>
      </c>
      <c r="D111" s="1">
        <v>2</v>
      </c>
      <c r="E111" s="1" t="s">
        <v>33</v>
      </c>
      <c r="F111" s="1" t="s">
        <v>258</v>
      </c>
      <c r="G111" s="1" t="s">
        <v>34</v>
      </c>
      <c r="H111" s="17">
        <v>48.711229890697297</v>
      </c>
      <c r="I111" s="17">
        <v>73.446206600942929</v>
      </c>
      <c r="J111" s="42">
        <v>3.55</v>
      </c>
      <c r="K111" s="17">
        <v>4.2101291595197203</v>
      </c>
      <c r="L111" s="42">
        <v>4.1258072469982796</v>
      </c>
      <c r="M111" s="1">
        <v>7.02</v>
      </c>
      <c r="N111" s="1">
        <v>6.9496070000000003</v>
      </c>
      <c r="O111" s="1">
        <v>3.3405228</v>
      </c>
      <c r="P111" s="1">
        <v>0.85768770000000005</v>
      </c>
      <c r="Q111" s="1">
        <v>1.8868627</v>
      </c>
      <c r="R111" s="17">
        <v>33.819885232799898</v>
      </c>
      <c r="S111" s="17">
        <v>20.14158085827367</v>
      </c>
      <c r="T111" s="17">
        <v>10.166348568132511</v>
      </c>
      <c r="U111" s="17">
        <v>3.5119558063937162</v>
      </c>
      <c r="V111" s="17">
        <v>11.611041507463117</v>
      </c>
    </row>
    <row r="112" spans="1:22" x14ac:dyDescent="0.3">
      <c r="A112" s="1" t="s">
        <v>262</v>
      </c>
      <c r="B112" s="1" t="s">
        <v>19</v>
      </c>
      <c r="C112" s="1" t="s">
        <v>37</v>
      </c>
      <c r="D112" s="1">
        <v>1</v>
      </c>
      <c r="E112" s="1" t="s">
        <v>42</v>
      </c>
      <c r="F112" s="1" t="s">
        <v>258</v>
      </c>
      <c r="G112" s="1" t="s">
        <v>43</v>
      </c>
      <c r="H112" s="17">
        <v>47.256642924513002</v>
      </c>
      <c r="I112" s="17">
        <v>72.333103922918056</v>
      </c>
      <c r="J112" s="42">
        <v>3.15</v>
      </c>
      <c r="K112" s="17">
        <v>4.4572318077803201</v>
      </c>
      <c r="L112" s="42">
        <v>8.1701987986270108</v>
      </c>
      <c r="M112" s="1">
        <v>7.11</v>
      </c>
      <c r="N112" s="1">
        <v>8.5479578000000007</v>
      </c>
      <c r="O112" s="1">
        <v>4.2866445999999998</v>
      </c>
      <c r="P112" s="1">
        <v>1.3909144</v>
      </c>
      <c r="Q112" s="1">
        <v>1.8753616</v>
      </c>
      <c r="R112" s="17">
        <v>34.263393421208676</v>
      </c>
      <c r="S112" s="17">
        <v>20.408059991973118</v>
      </c>
      <c r="T112" s="17">
        <v>10.181879148728152</v>
      </c>
      <c r="U112" s="17">
        <v>3.6734542805074057</v>
      </c>
      <c r="V112" s="17">
        <v>11.648002402234662</v>
      </c>
    </row>
    <row r="113" spans="1:22" x14ac:dyDescent="0.3">
      <c r="A113" s="1" t="s">
        <v>262</v>
      </c>
      <c r="B113" s="1" t="s">
        <v>19</v>
      </c>
      <c r="C113" s="1" t="s">
        <v>37</v>
      </c>
      <c r="D113" s="1">
        <v>2</v>
      </c>
      <c r="E113" s="1" t="s">
        <v>50</v>
      </c>
      <c r="F113" s="1" t="s">
        <v>258</v>
      </c>
      <c r="G113" s="1" t="s">
        <v>51</v>
      </c>
      <c r="H113" s="17">
        <v>48.9485852691842</v>
      </c>
      <c r="I113" s="17">
        <v>73.009446693657239</v>
      </c>
      <c r="J113" s="42">
        <v>3.35</v>
      </c>
      <c r="K113" s="17">
        <v>4.1426093609865502</v>
      </c>
      <c r="L113" s="42">
        <v>4.9538085061659203</v>
      </c>
      <c r="M113" s="1">
        <v>7.11</v>
      </c>
      <c r="N113" s="1">
        <v>6.8325798999999998</v>
      </c>
      <c r="O113" s="1">
        <v>3.5954063999999999</v>
      </c>
      <c r="P113" s="1">
        <v>0.85337280000000004</v>
      </c>
      <c r="Q113" s="1">
        <v>1.4231498</v>
      </c>
      <c r="R113" s="17">
        <v>34.263393421208676</v>
      </c>
      <c r="S113" s="17">
        <v>20.408059991973118</v>
      </c>
      <c r="T113" s="17">
        <v>10.181879148728152</v>
      </c>
      <c r="U113" s="17">
        <v>3.6734542805074057</v>
      </c>
      <c r="V113" s="17">
        <v>12.161933322456976</v>
      </c>
    </row>
    <row r="114" spans="1:22" x14ac:dyDescent="0.3">
      <c r="A114" s="1" t="s">
        <v>262</v>
      </c>
      <c r="B114" s="1" t="s">
        <v>68</v>
      </c>
      <c r="C114" s="1" t="s">
        <v>20</v>
      </c>
      <c r="D114" s="1">
        <v>1</v>
      </c>
      <c r="E114" s="1" t="s">
        <v>71</v>
      </c>
      <c r="F114" s="1" t="s">
        <v>258</v>
      </c>
      <c r="G114" s="1" t="s">
        <v>72</v>
      </c>
      <c r="H114" s="17">
        <v>46.446578208186899</v>
      </c>
      <c r="I114" s="17">
        <v>72.368421052631547</v>
      </c>
      <c r="J114" s="42">
        <v>3.55</v>
      </c>
      <c r="K114" s="17">
        <v>4.43042039170507</v>
      </c>
      <c r="L114" s="42">
        <v>5.5026274481566801</v>
      </c>
      <c r="M114" s="1">
        <v>6.9</v>
      </c>
      <c r="N114" s="1">
        <v>11.387312</v>
      </c>
      <c r="O114" s="1">
        <v>6.2556624999999997</v>
      </c>
      <c r="P114" s="1">
        <v>2.3125279999999999</v>
      </c>
      <c r="Q114" s="1">
        <v>1.7137532</v>
      </c>
      <c r="R114" s="17">
        <v>30.4908982832074</v>
      </c>
      <c r="S114" s="17">
        <v>17.744722707855452</v>
      </c>
      <c r="T114" s="17">
        <v>8.9719107845385118</v>
      </c>
      <c r="U114" s="17">
        <v>3.7742647908134384</v>
      </c>
      <c r="V114" s="17">
        <v>13.073814987328561</v>
      </c>
    </row>
    <row r="115" spans="1:22" x14ac:dyDescent="0.3">
      <c r="A115" s="1" t="s">
        <v>262</v>
      </c>
      <c r="B115" s="1" t="s">
        <v>68</v>
      </c>
      <c r="C115" s="1" t="s">
        <v>20</v>
      </c>
      <c r="D115" s="1">
        <v>2</v>
      </c>
      <c r="E115" s="1" t="s">
        <v>79</v>
      </c>
      <c r="F115" s="1" t="s">
        <v>258</v>
      </c>
      <c r="G115" s="1" t="s">
        <v>80</v>
      </c>
      <c r="H115" s="17">
        <v>46.367683787599098</v>
      </c>
      <c r="I115" s="17">
        <v>72.271662763465955</v>
      </c>
      <c r="J115" s="42">
        <v>3.8</v>
      </c>
      <c r="K115" s="17">
        <v>4.5077014334862398</v>
      </c>
      <c r="L115" s="42">
        <v>4.4231339592889896</v>
      </c>
      <c r="M115" s="1">
        <v>6.76</v>
      </c>
      <c r="N115" s="1">
        <v>12.8613602</v>
      </c>
      <c r="O115" s="1">
        <v>6.7826069999999996</v>
      </c>
      <c r="P115" s="1">
        <v>2.7355171</v>
      </c>
      <c r="Q115" s="1">
        <v>2.2960462000000001</v>
      </c>
      <c r="R115" s="17">
        <v>32.262648844399294</v>
      </c>
      <c r="S115" s="17">
        <v>19.340302293965188</v>
      </c>
      <c r="T115" s="17">
        <v>8.8796246423977596</v>
      </c>
      <c r="U115" s="17">
        <v>4.0427219080363495</v>
      </c>
      <c r="V115" s="17">
        <v>12.516386335007518</v>
      </c>
    </row>
    <row r="116" spans="1:22" x14ac:dyDescent="0.3">
      <c r="A116" s="1" t="s">
        <v>262</v>
      </c>
      <c r="B116" s="1" t="s">
        <v>68</v>
      </c>
      <c r="C116" s="1" t="s">
        <v>37</v>
      </c>
      <c r="D116" s="1">
        <v>1</v>
      </c>
      <c r="E116" s="1" t="s">
        <v>87</v>
      </c>
      <c r="F116" s="1" t="s">
        <v>258</v>
      </c>
      <c r="G116" s="1" t="s">
        <v>88</v>
      </c>
      <c r="H116" s="17">
        <v>45.006911775737002</v>
      </c>
      <c r="I116" s="17">
        <v>71.380952380952422</v>
      </c>
      <c r="J116" s="42">
        <v>3.65</v>
      </c>
      <c r="K116" s="17">
        <v>4.2735222471910097</v>
      </c>
      <c r="L116" s="42">
        <v>3.8970140449438202</v>
      </c>
      <c r="M116" s="1">
        <v>6.73</v>
      </c>
      <c r="N116" s="1">
        <v>14.6962057</v>
      </c>
      <c r="O116" s="1">
        <v>8.1573309999999992</v>
      </c>
      <c r="P116" s="1">
        <v>2.9313349</v>
      </c>
      <c r="Q116" s="1">
        <v>2.3845391</v>
      </c>
      <c r="R116" s="17">
        <v>33.14057992478304</v>
      </c>
      <c r="S116" s="17">
        <v>19.876457350605747</v>
      </c>
      <c r="T116" s="17">
        <v>9.0925215018824588</v>
      </c>
      <c r="U116" s="17">
        <v>4.1716010722948313</v>
      </c>
      <c r="V116" s="17">
        <v>11.631847920197993</v>
      </c>
    </row>
    <row r="117" spans="1:22" x14ac:dyDescent="0.3">
      <c r="A117" s="1" t="s">
        <v>262</v>
      </c>
      <c r="B117" s="1" t="s">
        <v>68</v>
      </c>
      <c r="C117" s="1" t="s">
        <v>37</v>
      </c>
      <c r="D117" s="1">
        <v>2</v>
      </c>
      <c r="E117" s="1" t="s">
        <v>95</v>
      </c>
      <c r="F117" s="1" t="s">
        <v>258</v>
      </c>
      <c r="G117" s="1" t="s">
        <v>96</v>
      </c>
      <c r="H117" s="17">
        <v>45.007765823574097</v>
      </c>
      <c r="I117" s="17">
        <v>71.511335012594543</v>
      </c>
      <c r="J117" s="42">
        <v>3.85</v>
      </c>
      <c r="K117" s="17">
        <v>4.3800642372881304</v>
      </c>
      <c r="L117" s="42">
        <v>3.3129014830508399</v>
      </c>
      <c r="M117" s="1">
        <v>6.66</v>
      </c>
      <c r="N117" s="1">
        <v>13.7467743</v>
      </c>
      <c r="O117" s="1">
        <v>7.6355301000000004</v>
      </c>
      <c r="P117" s="1">
        <v>2.6724923</v>
      </c>
      <c r="Q117" s="1">
        <v>2.2580072000000002</v>
      </c>
      <c r="R117" s="17">
        <v>32.272534986377593</v>
      </c>
      <c r="S117" s="17">
        <v>19.134858786224477</v>
      </c>
      <c r="T117" s="17">
        <v>8.9855203116530049</v>
      </c>
      <c r="U117" s="17">
        <v>4.1521558885001131</v>
      </c>
      <c r="V117" s="17">
        <v>11.446970432485031</v>
      </c>
    </row>
    <row r="118" spans="1:22" x14ac:dyDescent="0.3">
      <c r="A118" s="1" t="s">
        <v>262</v>
      </c>
      <c r="B118" s="1" t="s">
        <v>113</v>
      </c>
      <c r="C118" s="1" t="s">
        <v>20</v>
      </c>
      <c r="D118" s="1">
        <v>1</v>
      </c>
      <c r="E118" s="1" t="s">
        <v>116</v>
      </c>
      <c r="F118" s="1" t="s">
        <v>258</v>
      </c>
      <c r="G118" s="1" t="s">
        <v>117</v>
      </c>
      <c r="H118" s="17">
        <v>43.8920155998225</v>
      </c>
      <c r="I118" s="17">
        <v>71.109337589784587</v>
      </c>
      <c r="J118" s="42">
        <v>3.7</v>
      </c>
      <c r="K118" s="17">
        <v>4.7000671232876696</v>
      </c>
      <c r="L118" s="42">
        <v>6.2504195205479496</v>
      </c>
      <c r="M118" s="1">
        <v>6.9</v>
      </c>
      <c r="N118" s="1">
        <v>16.7784054</v>
      </c>
      <c r="O118" s="1">
        <v>9.3910804999999993</v>
      </c>
      <c r="P118" s="1">
        <v>3.5514261999999999</v>
      </c>
      <c r="Q118" s="1">
        <v>2.4606949</v>
      </c>
      <c r="R118" s="17">
        <v>29.083319316792995</v>
      </c>
      <c r="S118" s="17">
        <v>17.298207534308833</v>
      </c>
      <c r="T118" s="17">
        <v>7.5937729568287455</v>
      </c>
      <c r="U118" s="17">
        <v>4.191338825655416</v>
      </c>
      <c r="V118" s="17">
        <v>12.407844739182822</v>
      </c>
    </row>
    <row r="119" spans="1:22" x14ac:dyDescent="0.3">
      <c r="A119" s="1" t="s">
        <v>262</v>
      </c>
      <c r="B119" s="1" t="s">
        <v>113</v>
      </c>
      <c r="C119" s="1" t="s">
        <v>20</v>
      </c>
      <c r="D119" s="1">
        <v>2</v>
      </c>
      <c r="E119" s="1" t="s">
        <v>124</v>
      </c>
      <c r="F119" s="1" t="s">
        <v>258</v>
      </c>
      <c r="G119" s="1" t="s">
        <v>125</v>
      </c>
      <c r="H119" s="17">
        <v>45.042119151527402</v>
      </c>
      <c r="I119" s="17">
        <v>71.293375394321927</v>
      </c>
      <c r="J119" s="42">
        <v>3.95</v>
      </c>
      <c r="K119" s="17">
        <v>4.7099184818481801</v>
      </c>
      <c r="L119" s="42">
        <v>4.7494905115511497</v>
      </c>
      <c r="M119" s="1">
        <v>7.01</v>
      </c>
      <c r="N119" s="1">
        <v>15.525268199999999</v>
      </c>
      <c r="O119" s="1">
        <v>8.3849119000000005</v>
      </c>
      <c r="P119" s="1">
        <v>3.2535262999999999</v>
      </c>
      <c r="Q119" s="1">
        <v>2.6110166000000001</v>
      </c>
      <c r="R119" s="17">
        <v>32.509886943461865</v>
      </c>
      <c r="S119" s="17">
        <v>19.187967679691432</v>
      </c>
      <c r="T119" s="17">
        <v>9.1966542877258775</v>
      </c>
      <c r="U119" s="17">
        <v>4.1252649760445532</v>
      </c>
      <c r="V119" s="17">
        <v>12.993322511856217</v>
      </c>
    </row>
    <row r="120" spans="1:22" x14ac:dyDescent="0.3">
      <c r="A120" s="1" t="s">
        <v>262</v>
      </c>
      <c r="B120" s="1" t="s">
        <v>113</v>
      </c>
      <c r="C120" s="1" t="s">
        <v>37</v>
      </c>
      <c r="D120" s="1">
        <v>1</v>
      </c>
      <c r="E120" s="1" t="s">
        <v>132</v>
      </c>
      <c r="F120" s="1" t="s">
        <v>258</v>
      </c>
      <c r="G120" s="1" t="s">
        <v>133</v>
      </c>
      <c r="H120" s="17">
        <v>44.167112378914801</v>
      </c>
      <c r="I120" s="17">
        <v>70.882669537136749</v>
      </c>
      <c r="J120" s="42">
        <v>3.55</v>
      </c>
      <c r="K120" s="17">
        <v>4.4634996638655497</v>
      </c>
      <c r="L120" s="42">
        <v>5.7093728991596704</v>
      </c>
      <c r="M120" s="1">
        <v>6.73</v>
      </c>
      <c r="N120" s="1">
        <v>14.1590276</v>
      </c>
      <c r="O120" s="1">
        <v>7.1715242000000003</v>
      </c>
      <c r="P120" s="1">
        <v>3.0006892000000001</v>
      </c>
      <c r="Q120" s="1">
        <v>2.5917340000000002</v>
      </c>
      <c r="R120" s="17">
        <v>30.620912886678287</v>
      </c>
      <c r="S120" s="17">
        <v>18.070703400231217</v>
      </c>
      <c r="T120" s="17">
        <v>8.545181432366217</v>
      </c>
      <c r="U120" s="17">
        <v>4.0050280540808521</v>
      </c>
      <c r="V120" s="17">
        <v>12.175772294495408</v>
      </c>
    </row>
    <row r="121" spans="1:22" x14ac:dyDescent="0.3">
      <c r="A121" s="1" t="s">
        <v>262</v>
      </c>
      <c r="B121" s="1" t="s">
        <v>113</v>
      </c>
      <c r="C121" s="1" t="s">
        <v>37</v>
      </c>
      <c r="D121" s="1">
        <v>2</v>
      </c>
      <c r="E121" s="1" t="s">
        <v>140</v>
      </c>
      <c r="F121" s="1" t="s">
        <v>258</v>
      </c>
      <c r="G121" s="1" t="s">
        <v>141</v>
      </c>
      <c r="H121" s="17">
        <v>44.688176623007898</v>
      </c>
      <c r="I121" s="17">
        <v>70.876356897008051</v>
      </c>
      <c r="J121" s="42">
        <v>3.9</v>
      </c>
      <c r="K121" s="17">
        <v>4.50493426339286</v>
      </c>
      <c r="L121" s="42">
        <v>3.7808391462053601</v>
      </c>
      <c r="M121" s="1">
        <v>6.68</v>
      </c>
      <c r="N121" s="1">
        <v>15.0598656</v>
      </c>
      <c r="O121" s="1">
        <v>7.7104650000000001</v>
      </c>
      <c r="P121" s="1">
        <v>3.1658384000000002</v>
      </c>
      <c r="Q121" s="1">
        <v>2.6797487000000002</v>
      </c>
      <c r="R121" s="17">
        <v>29.813727393838906</v>
      </c>
      <c r="S121" s="17">
        <v>17.765382485326437</v>
      </c>
      <c r="T121" s="17">
        <v>8.044377213621118</v>
      </c>
      <c r="U121" s="17">
        <v>4.003967694891351</v>
      </c>
      <c r="V121" s="17">
        <v>12.580768454109378</v>
      </c>
    </row>
    <row r="122" spans="1:22" x14ac:dyDescent="0.3">
      <c r="A122" s="1" t="s">
        <v>262</v>
      </c>
      <c r="B122" s="1" t="s">
        <v>19</v>
      </c>
      <c r="C122" s="1" t="s">
        <v>20</v>
      </c>
      <c r="D122" s="1">
        <v>1</v>
      </c>
      <c r="E122" s="1" t="s">
        <v>27</v>
      </c>
      <c r="F122" s="1" t="s">
        <v>259</v>
      </c>
      <c r="G122" s="1" t="s">
        <v>28</v>
      </c>
      <c r="H122" s="17">
        <v>49.997695958711603</v>
      </c>
      <c r="I122" s="17">
        <v>73.27188940092158</v>
      </c>
      <c r="J122" s="42">
        <v>3.35</v>
      </c>
      <c r="K122" s="17">
        <v>4.4686904923599302</v>
      </c>
      <c r="L122" s="42">
        <v>6.9918155772495698</v>
      </c>
      <c r="M122" s="1">
        <v>7.24</v>
      </c>
      <c r="N122" s="1">
        <v>7.4970184</v>
      </c>
      <c r="O122" s="1">
        <v>4.3609054</v>
      </c>
      <c r="P122" s="1">
        <v>1.5174923</v>
      </c>
      <c r="Q122" s="1">
        <v>0.85337430000000003</v>
      </c>
      <c r="R122" s="17">
        <v>29.941822654533723</v>
      </c>
      <c r="S122" s="17">
        <v>17.362981702239736</v>
      </c>
      <c r="T122" s="17">
        <v>8.2520130502526321</v>
      </c>
      <c r="U122" s="17">
        <v>4.3268279020413551</v>
      </c>
      <c r="V122" s="17">
        <v>13.311496573049176</v>
      </c>
    </row>
    <row r="123" spans="1:22" x14ac:dyDescent="0.3">
      <c r="A123" s="1" t="s">
        <v>262</v>
      </c>
      <c r="B123" s="1" t="s">
        <v>19</v>
      </c>
      <c r="C123" s="1" t="s">
        <v>20</v>
      </c>
      <c r="D123" s="1">
        <v>2</v>
      </c>
      <c r="E123" s="1" t="s">
        <v>35</v>
      </c>
      <c r="F123" s="1" t="s">
        <v>259</v>
      </c>
      <c r="G123" s="1" t="s">
        <v>36</v>
      </c>
      <c r="H123" s="17">
        <v>48.175946936638098</v>
      </c>
      <c r="I123" s="17">
        <v>72.760210803689134</v>
      </c>
      <c r="J123" s="42">
        <v>3.35</v>
      </c>
      <c r="K123" s="17">
        <v>3.9219179114198899</v>
      </c>
      <c r="L123" s="42">
        <v>3.5744869463742899</v>
      </c>
      <c r="M123" s="1">
        <v>7.08</v>
      </c>
      <c r="N123" s="1">
        <v>8.1511715000000002</v>
      </c>
      <c r="O123" s="1">
        <v>4.4829733000000003</v>
      </c>
      <c r="P123" s="1">
        <v>1.4447207</v>
      </c>
      <c r="Q123" s="1">
        <v>1.3638961000000001</v>
      </c>
      <c r="R123" s="17">
        <v>29.988885564968363</v>
      </c>
      <c r="S123" s="17">
        <v>17.719959560496331</v>
      </c>
      <c r="T123" s="17">
        <v>8.041430291836706</v>
      </c>
      <c r="U123" s="17">
        <v>4.2274957126353234</v>
      </c>
      <c r="V123" s="17">
        <v>12.963534168407945</v>
      </c>
    </row>
    <row r="124" spans="1:22" x14ac:dyDescent="0.3">
      <c r="A124" s="1" t="s">
        <v>262</v>
      </c>
      <c r="B124" s="1" t="s">
        <v>19</v>
      </c>
      <c r="C124" s="1" t="s">
        <v>37</v>
      </c>
      <c r="D124" s="1">
        <v>1</v>
      </c>
      <c r="E124" s="1" t="s">
        <v>44</v>
      </c>
      <c r="F124" s="1" t="s">
        <v>259</v>
      </c>
      <c r="G124" s="1" t="s">
        <v>45</v>
      </c>
      <c r="H124" s="17">
        <v>48.182672158392897</v>
      </c>
      <c r="I124" s="17">
        <v>72.615476904619243</v>
      </c>
      <c r="J124" s="42">
        <v>3.1</v>
      </c>
      <c r="K124" s="17">
        <v>4.5477431791907499</v>
      </c>
      <c r="L124" s="42">
        <v>9.0483948699422001</v>
      </c>
      <c r="M124" s="1">
        <v>6.96</v>
      </c>
      <c r="N124" s="1">
        <v>9.7285465000000002</v>
      </c>
      <c r="O124" s="1">
        <v>6.0842016000000001</v>
      </c>
      <c r="P124" s="1">
        <v>1.7639479</v>
      </c>
      <c r="Q124" s="1">
        <v>1.1368895000000001</v>
      </c>
      <c r="R124" s="17">
        <v>28.707252349452737</v>
      </c>
      <c r="S124" s="17">
        <v>16.347965281808793</v>
      </c>
      <c r="T124" s="17">
        <v>7.7261192317649021</v>
      </c>
      <c r="U124" s="17">
        <v>4.6331678358790418</v>
      </c>
      <c r="V124" s="17">
        <v>13.061857922662707</v>
      </c>
    </row>
    <row r="125" spans="1:22" x14ac:dyDescent="0.3">
      <c r="A125" s="1" t="s">
        <v>262</v>
      </c>
      <c r="B125" s="1" t="s">
        <v>19</v>
      </c>
      <c r="C125" s="1" t="s">
        <v>37</v>
      </c>
      <c r="D125" s="1">
        <v>2</v>
      </c>
      <c r="E125" s="1" t="s">
        <v>52</v>
      </c>
      <c r="F125" s="1" t="s">
        <v>259</v>
      </c>
      <c r="G125" s="1" t="s">
        <v>53</v>
      </c>
      <c r="H125" s="17">
        <v>48.438578329882702</v>
      </c>
      <c r="I125" s="17">
        <v>72.187592757494699</v>
      </c>
      <c r="J125" s="42">
        <v>3.2</v>
      </c>
      <c r="K125" s="17">
        <v>4.5139907570422499</v>
      </c>
      <c r="L125" s="42">
        <v>8.2124422315140801</v>
      </c>
      <c r="M125" s="1">
        <v>7.33</v>
      </c>
      <c r="N125" s="1">
        <v>5.0956241000000002</v>
      </c>
      <c r="O125" s="1">
        <v>3.3668673999999998</v>
      </c>
      <c r="P125" s="1">
        <v>0.88385409999999998</v>
      </c>
      <c r="Q125" s="1">
        <v>0.41602889999999998</v>
      </c>
      <c r="R125" s="17">
        <v>28.464720445505691</v>
      </c>
      <c r="S125" s="17">
        <v>17.014319758972764</v>
      </c>
      <c r="T125" s="17">
        <v>6.9744311270912291</v>
      </c>
      <c r="U125" s="17">
        <v>4.4759695594416993</v>
      </c>
      <c r="V125" s="17">
        <v>14.104492372331782</v>
      </c>
    </row>
    <row r="126" spans="1:22" x14ac:dyDescent="0.3">
      <c r="A126" s="1" t="s">
        <v>262</v>
      </c>
      <c r="B126" s="1" t="s">
        <v>19</v>
      </c>
      <c r="C126" s="1" t="s">
        <v>54</v>
      </c>
      <c r="D126" s="1">
        <v>1</v>
      </c>
      <c r="E126" s="1" t="s">
        <v>57</v>
      </c>
      <c r="F126" s="1" t="s">
        <v>259</v>
      </c>
      <c r="G126" s="1" t="s">
        <v>58</v>
      </c>
      <c r="H126" s="17">
        <v>69.801790871566297</v>
      </c>
      <c r="I126" s="17">
        <v>75.609295295673462</v>
      </c>
      <c r="J126" s="42">
        <v>3.0068679999999999</v>
      </c>
      <c r="K126" s="17">
        <v>5.0352589999999999</v>
      </c>
      <c r="L126" s="42">
        <v>12.67744375</v>
      </c>
      <c r="M126" s="1">
        <v>7.07</v>
      </c>
      <c r="N126" s="1">
        <v>14.145982999999999</v>
      </c>
      <c r="O126" s="1">
        <v>6.88713</v>
      </c>
      <c r="P126" s="1">
        <v>1.9077009</v>
      </c>
      <c r="Q126" s="1">
        <v>3.6246927000000002</v>
      </c>
      <c r="R126" s="17">
        <v>33.382428494536576</v>
      </c>
      <c r="S126" s="17">
        <v>19.00710174443617</v>
      </c>
      <c r="T126" s="17">
        <v>9.7110036166011664</v>
      </c>
      <c r="U126" s="17">
        <v>4.6643231334992352</v>
      </c>
      <c r="V126" s="17">
        <v>12.966065422307743</v>
      </c>
    </row>
    <row r="127" spans="1:22" x14ac:dyDescent="0.3">
      <c r="A127" s="1" t="s">
        <v>262</v>
      </c>
      <c r="B127" s="1" t="s">
        <v>19</v>
      </c>
      <c r="C127" s="1" t="s">
        <v>54</v>
      </c>
      <c r="D127" s="1">
        <v>2</v>
      </c>
      <c r="E127" s="1" t="s">
        <v>59</v>
      </c>
      <c r="F127" s="1" t="s">
        <v>259</v>
      </c>
      <c r="G127" s="1" t="s">
        <v>60</v>
      </c>
      <c r="H127" s="17">
        <v>68.721990204376098</v>
      </c>
      <c r="I127" s="17">
        <v>75.247324853624079</v>
      </c>
      <c r="J127" s="42">
        <v>2.976334</v>
      </c>
      <c r="K127" s="17">
        <v>4.9987579999999996</v>
      </c>
      <c r="L127" s="42">
        <v>12.64015</v>
      </c>
      <c r="M127" s="1">
        <v>7.07</v>
      </c>
      <c r="N127" s="1">
        <v>13.8973336</v>
      </c>
      <c r="O127" s="1">
        <v>6.6652762000000001</v>
      </c>
      <c r="P127" s="1">
        <v>1.8677431</v>
      </c>
      <c r="Q127" s="1">
        <v>3.6466788000000001</v>
      </c>
      <c r="R127" s="17">
        <v>30.875043143205474</v>
      </c>
      <c r="S127" s="17">
        <v>17.866621464703766</v>
      </c>
      <c r="T127" s="17">
        <v>8.5566640645332512</v>
      </c>
      <c r="U127" s="17">
        <v>4.4517576139684589</v>
      </c>
      <c r="V127" s="17">
        <v>12.858616083165945</v>
      </c>
    </row>
    <row r="128" spans="1:22" x14ac:dyDescent="0.3">
      <c r="A128" s="1" t="s">
        <v>262</v>
      </c>
      <c r="B128" s="1" t="s">
        <v>19</v>
      </c>
      <c r="C128" s="1" t="s">
        <v>61</v>
      </c>
      <c r="D128" s="1">
        <v>1</v>
      </c>
      <c r="E128" s="1" t="s">
        <v>64</v>
      </c>
      <c r="F128" s="1" t="s">
        <v>259</v>
      </c>
      <c r="G128" s="1" t="s">
        <v>65</v>
      </c>
      <c r="H128" s="17">
        <v>66.673587116100407</v>
      </c>
      <c r="I128" s="17">
        <v>74.666370106761519</v>
      </c>
      <c r="J128" s="42">
        <v>2.9993089999999998</v>
      </c>
      <c r="K128" s="17">
        <v>4.9048179999999997</v>
      </c>
      <c r="L128" s="42">
        <v>11.909431250000001</v>
      </c>
      <c r="M128" s="1">
        <v>7.03</v>
      </c>
      <c r="N128" s="1">
        <v>13.7466344</v>
      </c>
      <c r="O128" s="1">
        <v>6.5212395000000001</v>
      </c>
      <c r="P128" s="1">
        <v>1.7669064000000001</v>
      </c>
      <c r="Q128" s="1">
        <v>3.4242284999999999</v>
      </c>
      <c r="R128" s="17">
        <v>30.334090071029479</v>
      </c>
      <c r="S128" s="17">
        <v>17.681726446781344</v>
      </c>
      <c r="T128" s="17">
        <v>8.3812145282538975</v>
      </c>
      <c r="U128" s="17">
        <v>4.2711490959942378</v>
      </c>
      <c r="V128" s="17">
        <v>12.706777819665755</v>
      </c>
    </row>
    <row r="129" spans="1:24" x14ac:dyDescent="0.3">
      <c r="A129" s="1" t="s">
        <v>262</v>
      </c>
      <c r="B129" s="1" t="s">
        <v>19</v>
      </c>
      <c r="C129" s="1" t="s">
        <v>61</v>
      </c>
      <c r="D129" s="1">
        <v>2</v>
      </c>
      <c r="E129" s="1" t="s">
        <v>66</v>
      </c>
      <c r="F129" s="1" t="s">
        <v>259</v>
      </c>
      <c r="G129" s="1" t="s">
        <v>67</v>
      </c>
      <c r="H129" s="17">
        <v>70.644803353470607</v>
      </c>
      <c r="I129" s="17">
        <v>75.462478184991213</v>
      </c>
      <c r="J129" s="42">
        <v>2.8837190000000001</v>
      </c>
      <c r="K129" s="17">
        <v>4.8372479999999998</v>
      </c>
      <c r="L129" s="42">
        <v>12.20955625</v>
      </c>
      <c r="M129" s="1">
        <v>6.99</v>
      </c>
      <c r="N129" s="1">
        <v>14.9851119</v>
      </c>
      <c r="O129" s="1">
        <v>7.2010125</v>
      </c>
      <c r="P129" s="1">
        <v>1.9310457000000001</v>
      </c>
      <c r="Q129" s="1">
        <v>3.6772705999999999</v>
      </c>
      <c r="R129" s="17">
        <v>32.40778925352901</v>
      </c>
      <c r="S129" s="17">
        <v>18.540261955262579</v>
      </c>
      <c r="T129" s="17">
        <v>9.7196826793782005</v>
      </c>
      <c r="U129" s="17">
        <v>4.1478446188882305</v>
      </c>
      <c r="V129" s="17">
        <v>12.036918573741866</v>
      </c>
    </row>
    <row r="130" spans="1:24" ht="15.6" x14ac:dyDescent="0.3">
      <c r="A130" s="1" t="s">
        <v>262</v>
      </c>
      <c r="B130" s="1" t="s">
        <v>68</v>
      </c>
      <c r="C130" s="1" t="s">
        <v>20</v>
      </c>
      <c r="D130" s="1">
        <v>1</v>
      </c>
      <c r="E130" s="1" t="s">
        <v>73</v>
      </c>
      <c r="F130" s="1" t="s">
        <v>259</v>
      </c>
      <c r="G130" s="1" t="s">
        <v>74</v>
      </c>
      <c r="H130" s="17">
        <v>43.910404772926</v>
      </c>
      <c r="I130" s="17">
        <v>68.72620790629567</v>
      </c>
      <c r="J130" s="42">
        <v>3.6</v>
      </c>
      <c r="K130" s="17">
        <v>4.4986126798561203</v>
      </c>
      <c r="L130" s="42">
        <v>5.61632924910072</v>
      </c>
      <c r="M130" s="1">
        <v>8.51</v>
      </c>
      <c r="N130" s="1">
        <v>1.6334500999999999</v>
      </c>
      <c r="O130" s="1">
        <v>1.2420755000000001</v>
      </c>
      <c r="P130" s="1">
        <v>0.30040559999999999</v>
      </c>
      <c r="Q130" s="1">
        <v>0</v>
      </c>
      <c r="R130" s="17">
        <v>32.269584525444216</v>
      </c>
      <c r="S130" s="17">
        <v>18.448286196802737</v>
      </c>
      <c r="T130" s="17">
        <v>8.4468763995060403</v>
      </c>
      <c r="U130" s="17">
        <v>5.3744219291354343</v>
      </c>
      <c r="V130" s="17">
        <v>13.159876413037111</v>
      </c>
      <c r="X130" s="29"/>
    </row>
    <row r="131" spans="1:24" ht="15.6" x14ac:dyDescent="0.3">
      <c r="A131" s="1" t="s">
        <v>262</v>
      </c>
      <c r="B131" s="1" t="s">
        <v>68</v>
      </c>
      <c r="C131" s="1" t="s">
        <v>20</v>
      </c>
      <c r="D131" s="1">
        <v>2</v>
      </c>
      <c r="E131" s="1" t="s">
        <v>81</v>
      </c>
      <c r="F131" s="1" t="s">
        <v>259</v>
      </c>
      <c r="G131" s="1" t="s">
        <v>82</v>
      </c>
      <c r="H131" s="17">
        <v>44.690982648791902</v>
      </c>
      <c r="I131" s="17">
        <v>68.878268203542433</v>
      </c>
      <c r="J131" s="42">
        <v>3.3</v>
      </c>
      <c r="K131" s="17">
        <v>4.4208799313893596</v>
      </c>
      <c r="L131" s="42">
        <v>7.0054995711835302</v>
      </c>
      <c r="M131" s="1">
        <v>8.66</v>
      </c>
      <c r="N131" s="1">
        <v>1.4280189999999999</v>
      </c>
      <c r="O131" s="1">
        <v>1.0447401000000001</v>
      </c>
      <c r="P131" s="1">
        <v>0.27891840000000001</v>
      </c>
      <c r="Q131" s="1">
        <v>3.3172699999999999E-2</v>
      </c>
      <c r="R131" s="17">
        <v>32.581750991957875</v>
      </c>
      <c r="S131" s="17">
        <v>18.629742665758162</v>
      </c>
      <c r="T131" s="17">
        <v>8.7008680618959744</v>
      </c>
      <c r="U131" s="17">
        <v>5.2511402643037357</v>
      </c>
      <c r="V131" s="17">
        <v>12.882145271827492</v>
      </c>
      <c r="X131" s="29"/>
    </row>
    <row r="132" spans="1:24" ht="15.6" x14ac:dyDescent="0.3">
      <c r="A132" s="1" t="s">
        <v>262</v>
      </c>
      <c r="B132" s="1" t="s">
        <v>68</v>
      </c>
      <c r="C132" s="1" t="s">
        <v>37</v>
      </c>
      <c r="D132" s="1">
        <v>1</v>
      </c>
      <c r="E132" s="1" t="s">
        <v>89</v>
      </c>
      <c r="F132" s="1" t="s">
        <v>259</v>
      </c>
      <c r="G132" s="1" t="s">
        <v>90</v>
      </c>
      <c r="H132" s="17">
        <v>43.579807845426998</v>
      </c>
      <c r="I132" s="17">
        <v>70.09744214372725</v>
      </c>
      <c r="J132" s="42">
        <v>3.5</v>
      </c>
      <c r="K132" s="17">
        <v>4.3597165116279104</v>
      </c>
      <c r="L132" s="42">
        <v>5.3732281976744103</v>
      </c>
      <c r="M132" s="1">
        <v>6.99</v>
      </c>
      <c r="N132" s="1">
        <v>14.481203600000001</v>
      </c>
      <c r="O132" s="1">
        <v>7.4903785000000003</v>
      </c>
      <c r="P132" s="1">
        <v>3.4173233999999999</v>
      </c>
      <c r="Q132" s="1">
        <v>2.2657080999999999</v>
      </c>
      <c r="R132" s="17">
        <v>24.445989670618999</v>
      </c>
      <c r="S132" s="17">
        <v>13.983703947754607</v>
      </c>
      <c r="T132" s="17">
        <v>6.395014159666375</v>
      </c>
      <c r="U132" s="17">
        <v>4.0672715631980143</v>
      </c>
      <c r="V132" s="17">
        <v>13.571273640172635</v>
      </c>
      <c r="X132" s="29"/>
    </row>
    <row r="133" spans="1:24" ht="15.6" x14ac:dyDescent="0.3">
      <c r="A133" s="1" t="s">
        <v>262</v>
      </c>
      <c r="B133" s="1" t="s">
        <v>68</v>
      </c>
      <c r="C133" s="1" t="s">
        <v>37</v>
      </c>
      <c r="D133" s="1">
        <v>2</v>
      </c>
      <c r="E133" s="1" t="s">
        <v>97</v>
      </c>
      <c r="F133" s="1" t="s">
        <v>259</v>
      </c>
      <c r="G133" s="1" t="s">
        <v>98</v>
      </c>
      <c r="H133" s="17">
        <v>42.721859077288798</v>
      </c>
      <c r="I133" s="17">
        <v>68.393015685113937</v>
      </c>
      <c r="J133" s="42">
        <v>3.65</v>
      </c>
      <c r="K133" s="17">
        <v>4.44559251152074</v>
      </c>
      <c r="L133" s="42">
        <v>4.9724531970046097</v>
      </c>
      <c r="M133" s="1">
        <v>8.5299999999999994</v>
      </c>
      <c r="N133" s="1">
        <v>3.2376673999999999</v>
      </c>
      <c r="O133" s="1">
        <v>1.9518404</v>
      </c>
      <c r="P133" s="1">
        <v>0.57963279999999995</v>
      </c>
      <c r="Q133" s="1">
        <v>0.35951699999999998</v>
      </c>
      <c r="R133" s="17">
        <v>30.201770487536081</v>
      </c>
      <c r="S133" s="17">
        <v>18.751957636331721</v>
      </c>
      <c r="T133" s="17">
        <v>6.7805009033915953</v>
      </c>
      <c r="U133" s="17">
        <v>4.6693119478127665</v>
      </c>
      <c r="V133" s="17">
        <v>13.615207035947124</v>
      </c>
      <c r="X133" s="29"/>
    </row>
    <row r="134" spans="1:24" ht="15.6" x14ac:dyDescent="0.3">
      <c r="A134" s="1" t="s">
        <v>262</v>
      </c>
      <c r="B134" s="1" t="s">
        <v>68</v>
      </c>
      <c r="C134" s="1" t="s">
        <v>54</v>
      </c>
      <c r="D134" s="1">
        <v>1</v>
      </c>
      <c r="E134" s="1" t="s">
        <v>101</v>
      </c>
      <c r="F134" s="1" t="s">
        <v>259</v>
      </c>
      <c r="G134" s="1" t="s">
        <v>102</v>
      </c>
      <c r="H134" s="17">
        <v>63.902427538791201</v>
      </c>
      <c r="I134" s="17">
        <v>74.981577008106058</v>
      </c>
      <c r="J134" s="42">
        <v>2.7070799999999999</v>
      </c>
      <c r="K134" s="17">
        <v>4.8196370000000002</v>
      </c>
      <c r="L134" s="42">
        <v>13.203481249999999</v>
      </c>
      <c r="M134" s="1">
        <v>6.85</v>
      </c>
      <c r="N134" s="1">
        <v>17.865354700000001</v>
      </c>
      <c r="O134" s="1">
        <v>8.3171624000000008</v>
      </c>
      <c r="P134" s="1">
        <v>4.1583424999999998</v>
      </c>
      <c r="Q134" s="1">
        <v>3.7090529000000001</v>
      </c>
      <c r="R134" s="17">
        <v>24.066720789682407</v>
      </c>
      <c r="S134" s="17">
        <v>13.959328312647951</v>
      </c>
      <c r="T134" s="17">
        <v>5.4934188030640447</v>
      </c>
      <c r="U134" s="17">
        <v>4.6139736739704089</v>
      </c>
      <c r="V134" s="17">
        <v>13.900781330920584</v>
      </c>
      <c r="X134" s="29"/>
    </row>
    <row r="135" spans="1:24" ht="15.6" x14ac:dyDescent="0.3">
      <c r="A135" s="1" t="s">
        <v>262</v>
      </c>
      <c r="B135" s="1" t="s">
        <v>68</v>
      </c>
      <c r="C135" s="1" t="s">
        <v>54</v>
      </c>
      <c r="D135" s="1">
        <v>2</v>
      </c>
      <c r="E135" s="1" t="s">
        <v>105</v>
      </c>
      <c r="F135" s="1" t="s">
        <v>259</v>
      </c>
      <c r="G135" s="1" t="s">
        <v>106</v>
      </c>
      <c r="H135" s="17">
        <v>62.665256478053898</v>
      </c>
      <c r="I135" s="17">
        <v>71.63067758749068</v>
      </c>
      <c r="J135" s="42">
        <v>3.213152</v>
      </c>
      <c r="K135" s="17">
        <v>4.9987579999999996</v>
      </c>
      <c r="L135" s="42">
        <v>11.1600375</v>
      </c>
      <c r="M135" s="1">
        <v>7.69</v>
      </c>
      <c r="N135" s="1">
        <v>2.9868603</v>
      </c>
      <c r="O135" s="1">
        <v>2.0928721000000001</v>
      </c>
      <c r="P135" s="1">
        <v>0.66472390000000003</v>
      </c>
      <c r="Q135" s="1">
        <v>5.9377199999999998E-2</v>
      </c>
      <c r="R135" s="17">
        <v>34.08567954136592</v>
      </c>
      <c r="S135" s="17">
        <v>19.058689796757832</v>
      </c>
      <c r="T135" s="17">
        <v>9.1892050081313634</v>
      </c>
      <c r="U135" s="17">
        <v>5.8377847364767277</v>
      </c>
      <c r="V135" s="17">
        <v>13.915326604925191</v>
      </c>
      <c r="X135" s="29"/>
    </row>
    <row r="136" spans="1:24" ht="15.6" x14ac:dyDescent="0.3">
      <c r="A136" s="1" t="s">
        <v>262</v>
      </c>
      <c r="B136" s="1" t="s">
        <v>68</v>
      </c>
      <c r="C136" s="1" t="s">
        <v>61</v>
      </c>
      <c r="D136" s="1">
        <v>1</v>
      </c>
      <c r="E136" s="1" t="s">
        <v>107</v>
      </c>
      <c r="F136" s="1" t="s">
        <v>259</v>
      </c>
      <c r="G136" s="1" t="s">
        <v>108</v>
      </c>
      <c r="H136" s="17">
        <v>64.923494092581805</v>
      </c>
      <c r="I136" s="17">
        <v>72.434367541766093</v>
      </c>
      <c r="J136" s="42">
        <v>3.3580619999999999</v>
      </c>
      <c r="K136" s="17">
        <v>4.7141260000000003</v>
      </c>
      <c r="L136" s="42">
        <v>8.4754000000000005</v>
      </c>
      <c r="M136" s="1">
        <v>8.33</v>
      </c>
      <c r="N136" s="1">
        <v>7.7097290999999997</v>
      </c>
      <c r="O136" s="1">
        <v>4.2755881000000002</v>
      </c>
      <c r="P136" s="1">
        <v>0.97604409999999997</v>
      </c>
      <c r="Q136" s="1">
        <v>0.92867440000000001</v>
      </c>
      <c r="R136" s="17">
        <v>30.133117740671036</v>
      </c>
      <c r="S136" s="17">
        <v>16.95441903937429</v>
      </c>
      <c r="T136" s="17">
        <v>8.1631722404623979</v>
      </c>
      <c r="U136" s="17">
        <v>5.0155264608343479</v>
      </c>
      <c r="V136" s="17">
        <v>13.305521664688161</v>
      </c>
      <c r="X136" s="29"/>
    </row>
    <row r="137" spans="1:24" ht="15.6" x14ac:dyDescent="0.3">
      <c r="A137" s="1" t="s">
        <v>262</v>
      </c>
      <c r="B137" s="1" t="s">
        <v>68</v>
      </c>
      <c r="C137" s="1" t="s">
        <v>61</v>
      </c>
      <c r="D137" s="1">
        <v>2</v>
      </c>
      <c r="E137" s="1" t="s">
        <v>111</v>
      </c>
      <c r="F137" s="1" t="s">
        <v>259</v>
      </c>
      <c r="G137" s="1" t="s">
        <v>112</v>
      </c>
      <c r="H137" s="17">
        <v>61.977971837412397</v>
      </c>
      <c r="I137" s="17">
        <v>72.719836400817911</v>
      </c>
      <c r="J137" s="42">
        <v>3.3000880000000001</v>
      </c>
      <c r="K137" s="17">
        <v>4.8372479999999998</v>
      </c>
      <c r="L137" s="42">
        <v>9.6072500000000005</v>
      </c>
      <c r="M137" s="1">
        <v>7.6</v>
      </c>
      <c r="N137" s="1">
        <v>10.0945193</v>
      </c>
      <c r="O137" s="1">
        <v>5.344913</v>
      </c>
      <c r="P137" s="1">
        <v>2.030945</v>
      </c>
      <c r="Q137" s="1">
        <v>1.1640592000000001</v>
      </c>
      <c r="R137" s="17">
        <v>29.880640207738448</v>
      </c>
      <c r="S137" s="17">
        <v>17.064939342991888</v>
      </c>
      <c r="T137" s="17">
        <v>7.8627661617563032</v>
      </c>
      <c r="U137" s="17">
        <v>4.9529347029902588</v>
      </c>
      <c r="V137" s="17">
        <v>13.638320626787657</v>
      </c>
      <c r="X137" s="29"/>
    </row>
    <row r="138" spans="1:24" x14ac:dyDescent="0.3">
      <c r="A138" s="1" t="s">
        <v>262</v>
      </c>
      <c r="B138" s="1" t="s">
        <v>113</v>
      </c>
      <c r="C138" s="1" t="s">
        <v>20</v>
      </c>
      <c r="D138" s="1">
        <v>1</v>
      </c>
      <c r="E138" s="1" t="s">
        <v>118</v>
      </c>
      <c r="F138" s="1" t="s">
        <v>259</v>
      </c>
      <c r="G138" s="1" t="s">
        <v>119</v>
      </c>
      <c r="H138" s="17">
        <v>48.624313476975097</v>
      </c>
      <c r="I138" s="17">
        <v>70.866141732283509</v>
      </c>
      <c r="J138" s="42">
        <v>3.85</v>
      </c>
      <c r="K138" s="17">
        <v>4.5003534738040996</v>
      </c>
      <c r="L138" s="42">
        <v>4.0647092112756296</v>
      </c>
      <c r="M138" s="1">
        <v>8.0500000000000007</v>
      </c>
      <c r="N138" s="1">
        <v>7.9426635000000001</v>
      </c>
      <c r="O138" s="1">
        <v>4.8257709999999996</v>
      </c>
      <c r="P138" s="1">
        <v>1.8392660000000001</v>
      </c>
      <c r="Q138" s="1">
        <v>0.50179059999999998</v>
      </c>
      <c r="R138" s="17">
        <v>29.260890106453466</v>
      </c>
      <c r="S138" s="17">
        <v>16.262477721592088</v>
      </c>
      <c r="T138" s="17">
        <v>7.5272897408577695</v>
      </c>
      <c r="U138" s="17">
        <v>5.4711226440036054</v>
      </c>
      <c r="V138" s="17">
        <v>14.561005113549474</v>
      </c>
    </row>
    <row r="139" spans="1:24" x14ac:dyDescent="0.3">
      <c r="A139" s="1" t="s">
        <v>262</v>
      </c>
      <c r="B139" s="1" t="s">
        <v>113</v>
      </c>
      <c r="C139" s="1" t="s">
        <v>20</v>
      </c>
      <c r="D139" s="1">
        <v>2</v>
      </c>
      <c r="E139" s="1" t="s">
        <v>126</v>
      </c>
      <c r="F139" s="1" t="s">
        <v>259</v>
      </c>
      <c r="G139" s="1" t="s">
        <v>127</v>
      </c>
      <c r="H139" s="17">
        <v>47.917571845323103</v>
      </c>
      <c r="I139" s="17">
        <v>70.388601036269336</v>
      </c>
      <c r="J139" s="42">
        <v>3.85</v>
      </c>
      <c r="K139" s="17">
        <v>4.48614194097616</v>
      </c>
      <c r="L139" s="42">
        <v>3.97588713110102</v>
      </c>
      <c r="M139" s="1">
        <v>8.5500000000000007</v>
      </c>
      <c r="N139" s="1">
        <v>3.3629718</v>
      </c>
      <c r="O139" s="1">
        <v>2.1507480999999999</v>
      </c>
      <c r="P139" s="1">
        <v>0.5784397</v>
      </c>
      <c r="Q139" s="1">
        <v>0.125663</v>
      </c>
      <c r="R139" s="17">
        <v>32.756366513850196</v>
      </c>
      <c r="S139" s="17">
        <v>17.622910956418217</v>
      </c>
      <c r="T139" s="17">
        <v>10.000839794740202</v>
      </c>
      <c r="U139" s="17">
        <v>5.1326157626917741</v>
      </c>
      <c r="V139" s="17">
        <v>14.239527934189319</v>
      </c>
    </row>
    <row r="140" spans="1:24" x14ac:dyDescent="0.3">
      <c r="A140" s="1" t="s">
        <v>262</v>
      </c>
      <c r="B140" s="1" t="s">
        <v>113</v>
      </c>
      <c r="C140" s="1" t="s">
        <v>37</v>
      </c>
      <c r="D140" s="1">
        <v>1</v>
      </c>
      <c r="E140" s="1" t="s">
        <v>134</v>
      </c>
      <c r="F140" s="1" t="s">
        <v>259</v>
      </c>
      <c r="G140" s="1" t="s">
        <v>135</v>
      </c>
      <c r="H140" s="17">
        <v>43.847004324521002</v>
      </c>
      <c r="I140" s="17">
        <v>69.901053303542923</v>
      </c>
      <c r="J140" s="42">
        <v>3.45</v>
      </c>
      <c r="K140" s="17">
        <v>4.5047661345496</v>
      </c>
      <c r="L140" s="42">
        <v>6.5922883409350099</v>
      </c>
      <c r="M140" s="1">
        <v>8.2899999999999991</v>
      </c>
      <c r="N140" s="1">
        <v>3.5923102999999998</v>
      </c>
      <c r="O140" s="1">
        <v>2.5546123000000001</v>
      </c>
      <c r="P140" s="1">
        <v>0.50447359999999997</v>
      </c>
      <c r="Q140" s="1">
        <v>8.71865E-2</v>
      </c>
      <c r="R140" s="17">
        <v>30.926888185250725</v>
      </c>
      <c r="S140" s="17">
        <v>18.577831889384747</v>
      </c>
      <c r="T140" s="17">
        <v>7.1295570138499338</v>
      </c>
      <c r="U140" s="17">
        <v>5.219499282016046</v>
      </c>
      <c r="V140" s="17">
        <v>13.294464198323382</v>
      </c>
    </row>
    <row r="141" spans="1:24" x14ac:dyDescent="0.3">
      <c r="A141" s="1" t="s">
        <v>262</v>
      </c>
      <c r="B141" s="1" t="s">
        <v>113</v>
      </c>
      <c r="C141" s="1" t="s">
        <v>37</v>
      </c>
      <c r="D141" s="1">
        <v>2</v>
      </c>
      <c r="E141" s="1" t="s">
        <v>142</v>
      </c>
      <c r="F141" s="1" t="s">
        <v>259</v>
      </c>
      <c r="G141" s="1" t="s">
        <v>143</v>
      </c>
      <c r="H141" s="17">
        <v>43.957639939485603</v>
      </c>
      <c r="I141" s="17">
        <v>69.025330396475709</v>
      </c>
      <c r="J141" s="42">
        <v>3.7</v>
      </c>
      <c r="K141" s="17">
        <v>4.5471322729901704</v>
      </c>
      <c r="L141" s="42">
        <v>5.2945767061885496</v>
      </c>
      <c r="M141" s="1">
        <v>8.35</v>
      </c>
      <c r="N141" s="1">
        <v>2.4077323000000002</v>
      </c>
      <c r="O141" s="1">
        <v>1.4936978999999999</v>
      </c>
      <c r="P141" s="1">
        <v>0.28278999999999999</v>
      </c>
      <c r="Q141" s="1">
        <v>4.2767100000000002E-2</v>
      </c>
      <c r="R141" s="17">
        <v>31.589332585912981</v>
      </c>
      <c r="S141" s="17">
        <v>17.867236663642959</v>
      </c>
      <c r="T141" s="17">
        <v>8.3702740689714474</v>
      </c>
      <c r="U141" s="17">
        <v>5.3518218532985751</v>
      </c>
      <c r="V141" s="17">
        <v>12.192169223852527</v>
      </c>
    </row>
    <row r="142" spans="1:24" x14ac:dyDescent="0.3">
      <c r="A142" s="1" t="s">
        <v>262</v>
      </c>
      <c r="B142" s="1" t="s">
        <v>113</v>
      </c>
      <c r="C142" s="1" t="s">
        <v>54</v>
      </c>
      <c r="D142" s="1">
        <v>1</v>
      </c>
      <c r="E142" s="1" t="s">
        <v>146</v>
      </c>
      <c r="F142" s="1" t="s">
        <v>259</v>
      </c>
      <c r="G142" s="1" t="s">
        <v>147</v>
      </c>
      <c r="H142" s="17">
        <v>70.592975961114703</v>
      </c>
      <c r="I142" s="17">
        <v>73.082411701748086</v>
      </c>
      <c r="J142" s="42">
        <v>3.0630639999999998</v>
      </c>
      <c r="K142" s="17">
        <v>5.1930769999999997</v>
      </c>
      <c r="L142" s="42">
        <v>13.312581249999999</v>
      </c>
      <c r="M142" s="1">
        <v>7.69</v>
      </c>
      <c r="N142" s="1">
        <v>9.5625108999999995</v>
      </c>
      <c r="O142" s="1">
        <v>5.0195885000000002</v>
      </c>
      <c r="P142" s="1">
        <v>2.9564522000000002</v>
      </c>
      <c r="Q142" s="1">
        <v>0.59446880000000002</v>
      </c>
      <c r="R142" s="17">
        <v>34.762508979619696</v>
      </c>
      <c r="S142" s="17">
        <v>10.661053651269766</v>
      </c>
      <c r="T142" s="17">
        <v>13.530479061788192</v>
      </c>
      <c r="U142" s="17">
        <v>10.570976266561738</v>
      </c>
      <c r="V142" s="17">
        <v>14.483833755702383</v>
      </c>
    </row>
    <row r="143" spans="1:24" x14ac:dyDescent="0.3">
      <c r="A143" s="1" t="s">
        <v>262</v>
      </c>
      <c r="B143" s="1" t="s">
        <v>113</v>
      </c>
      <c r="C143" s="1" t="s">
        <v>54</v>
      </c>
      <c r="D143" s="1">
        <v>2</v>
      </c>
      <c r="E143" s="1" t="s">
        <v>150</v>
      </c>
      <c r="F143" s="1" t="s">
        <v>259</v>
      </c>
      <c r="G143" s="1" t="s">
        <v>151</v>
      </c>
      <c r="H143" s="17">
        <v>68.280267247497605</v>
      </c>
      <c r="I143" s="17">
        <v>73.387096774193466</v>
      </c>
      <c r="J143" s="42">
        <v>3.4295469999999999</v>
      </c>
      <c r="K143" s="17">
        <v>5.3052419999999998</v>
      </c>
      <c r="L143" s="42">
        <v>11.72309375</v>
      </c>
      <c r="M143" s="1">
        <v>7.86</v>
      </c>
      <c r="N143" s="1">
        <v>5.2574945</v>
      </c>
      <c r="O143" s="1">
        <v>1.5004090000000001</v>
      </c>
      <c r="P143" s="1">
        <v>2.9643609</v>
      </c>
      <c r="Q143" s="1">
        <v>4.4858700000000001E-2</v>
      </c>
      <c r="R143" s="17">
        <v>35.549806702967288</v>
      </c>
      <c r="S143" s="17">
        <v>11.410648914095429</v>
      </c>
      <c r="T143" s="17">
        <v>13.08365367358213</v>
      </c>
      <c r="U143" s="17">
        <v>11.055504115289729</v>
      </c>
      <c r="V143" s="17">
        <v>14.852339025339806</v>
      </c>
    </row>
    <row r="144" spans="1:24" x14ac:dyDescent="0.3">
      <c r="A144" s="1" t="s">
        <v>262</v>
      </c>
      <c r="B144" s="1" t="s">
        <v>113</v>
      </c>
      <c r="C144" s="1" t="s">
        <v>61</v>
      </c>
      <c r="D144" s="1">
        <v>1</v>
      </c>
      <c r="E144" s="1" t="s">
        <v>152</v>
      </c>
      <c r="F144" s="1" t="s">
        <v>259</v>
      </c>
      <c r="G144" s="1" t="s">
        <v>153</v>
      </c>
      <c r="H144" s="17">
        <v>69.260722670789704</v>
      </c>
      <c r="I144" s="17">
        <v>72.653989251756883</v>
      </c>
      <c r="J144" s="42">
        <v>3.1081439999999998</v>
      </c>
      <c r="K144" s="17">
        <v>4.9880519999999997</v>
      </c>
      <c r="L144" s="42">
        <v>11.749425</v>
      </c>
      <c r="M144" s="1">
        <v>8.2899999999999991</v>
      </c>
      <c r="N144" s="1">
        <v>6.2937697999999997</v>
      </c>
      <c r="O144" s="1">
        <v>3.8717388000000001</v>
      </c>
      <c r="P144" s="1">
        <v>1.3274922</v>
      </c>
      <c r="Q144" s="1">
        <v>0.32360369999999999</v>
      </c>
      <c r="R144" s="17">
        <v>31.846379693307703</v>
      </c>
      <c r="S144" s="17">
        <v>17.825989953468056</v>
      </c>
      <c r="T144" s="17">
        <v>8.6212594859908709</v>
      </c>
      <c r="U144" s="17">
        <v>5.3991302538487744</v>
      </c>
      <c r="V144" s="17">
        <v>12.689198594727561</v>
      </c>
    </row>
    <row r="145" spans="1:22" x14ac:dyDescent="0.3">
      <c r="A145" s="1" t="s">
        <v>262</v>
      </c>
      <c r="B145" s="1" t="s">
        <v>113</v>
      </c>
      <c r="C145" s="1" t="s">
        <v>61</v>
      </c>
      <c r="D145" s="1">
        <v>2</v>
      </c>
      <c r="E145" s="1" t="s">
        <v>156</v>
      </c>
      <c r="F145" s="1" t="s">
        <v>259</v>
      </c>
      <c r="G145" s="1" t="s">
        <v>157</v>
      </c>
      <c r="H145" s="17">
        <v>66.741853627099502</v>
      </c>
      <c r="I145" s="17">
        <v>72.359686179843067</v>
      </c>
      <c r="J145" s="42">
        <v>3.364601</v>
      </c>
      <c r="K145" s="17">
        <v>5.6640230000000003</v>
      </c>
      <c r="L145" s="42">
        <v>14.371387500000001</v>
      </c>
      <c r="M145" s="1">
        <v>8.08</v>
      </c>
      <c r="N145" s="1">
        <v>5.6694198</v>
      </c>
      <c r="O145" s="1">
        <v>3.5900451000000002</v>
      </c>
      <c r="P145" s="1">
        <v>1.2955353000000001</v>
      </c>
      <c r="Q145" s="1">
        <v>0.1749608</v>
      </c>
      <c r="R145" s="17">
        <v>40.554966583939645</v>
      </c>
      <c r="S145" s="17">
        <v>13.619632777218655</v>
      </c>
      <c r="T145" s="17">
        <v>16.652784167290292</v>
      </c>
      <c r="U145" s="17">
        <v>10.282549639430696</v>
      </c>
      <c r="V145" s="17">
        <v>11.725347399796863</v>
      </c>
    </row>
    <row r="146" spans="1:22" x14ac:dyDescent="0.3">
      <c r="A146" s="1" t="s">
        <v>269</v>
      </c>
      <c r="B146" s="1">
        <v>17.5</v>
      </c>
      <c r="C146" s="1" t="s">
        <v>37</v>
      </c>
      <c r="D146" s="1">
        <v>1</v>
      </c>
      <c r="E146" s="30" t="s">
        <v>271</v>
      </c>
      <c r="F146" s="30">
        <v>0</v>
      </c>
      <c r="G146" s="30" t="s">
        <v>270</v>
      </c>
      <c r="H146" s="17">
        <v>66.03548886507086</v>
      </c>
      <c r="I146" s="17">
        <v>73.872858431018926</v>
      </c>
      <c r="J146" s="42">
        <v>4.4538706256627787</v>
      </c>
      <c r="K146" s="17">
        <v>6.1997733149171275</v>
      </c>
      <c r="L146" s="42">
        <f t="shared" ref="L146:L165" si="0">(K146-J146)*6.25</f>
        <v>10.91189180783968</v>
      </c>
      <c r="M146" s="1">
        <v>8.25</v>
      </c>
      <c r="N146" s="1">
        <v>7.3253436000000001</v>
      </c>
      <c r="O146" s="1">
        <v>4.3298718999999997</v>
      </c>
      <c r="P146" s="1">
        <v>1.3645734999999999</v>
      </c>
      <c r="Q146" s="1">
        <v>0.25858390000000003</v>
      </c>
      <c r="R146" s="17">
        <v>33.778236161262342</v>
      </c>
      <c r="S146" s="17">
        <v>19.773623784880485</v>
      </c>
      <c r="T146" s="17">
        <v>10.721635594469653</v>
      </c>
      <c r="U146" s="17">
        <v>3.2829767819122049</v>
      </c>
      <c r="V146" s="17">
        <v>13.113449366386128</v>
      </c>
    </row>
    <row r="147" spans="1:22" x14ac:dyDescent="0.3">
      <c r="A147" s="1" t="s">
        <v>269</v>
      </c>
      <c r="B147" s="1">
        <v>17.5</v>
      </c>
      <c r="C147" s="1" t="s">
        <v>37</v>
      </c>
      <c r="D147" s="1">
        <v>2</v>
      </c>
      <c r="E147" s="30" t="s">
        <v>273</v>
      </c>
      <c r="F147" s="30">
        <v>0</v>
      </c>
      <c r="G147" s="30" t="s">
        <v>272</v>
      </c>
      <c r="H147" s="17">
        <v>67.042346896494564</v>
      </c>
      <c r="I147" s="17">
        <v>74.854317499558547</v>
      </c>
      <c r="J147" s="42">
        <v>3.9400665926748055</v>
      </c>
      <c r="K147" s="17">
        <v>6.2257129102844644</v>
      </c>
      <c r="L147" s="42">
        <f t="shared" si="0"/>
        <v>14.285289485060368</v>
      </c>
      <c r="M147" s="1">
        <v>8.75</v>
      </c>
      <c r="N147" s="1">
        <v>5.5459709000000013</v>
      </c>
      <c r="O147" s="1">
        <v>2.8123111000000001</v>
      </c>
      <c r="P147" s="1">
        <v>1.2797544999999999</v>
      </c>
      <c r="Q147" s="1">
        <v>0.2380726</v>
      </c>
      <c r="R147" s="17">
        <v>30.905709163634604</v>
      </c>
      <c r="S147" s="17">
        <v>18.214348318976462</v>
      </c>
      <c r="T147" s="17">
        <v>9.5955513926223599</v>
      </c>
      <c r="U147" s="17">
        <v>3.09580945203578</v>
      </c>
      <c r="V147" s="17">
        <v>12.270025671682189</v>
      </c>
    </row>
    <row r="148" spans="1:22" x14ac:dyDescent="0.3">
      <c r="A148" s="1" t="s">
        <v>269</v>
      </c>
      <c r="B148" s="1">
        <v>17.5</v>
      </c>
      <c r="C148" s="1" t="s">
        <v>61</v>
      </c>
      <c r="D148" s="1">
        <v>1</v>
      </c>
      <c r="E148" s="30" t="s">
        <v>275</v>
      </c>
      <c r="F148" s="30">
        <v>0</v>
      </c>
      <c r="G148" s="30" t="s">
        <v>274</v>
      </c>
      <c r="H148" s="17">
        <v>81.327491376899403</v>
      </c>
      <c r="I148" s="17">
        <v>74.816597890875741</v>
      </c>
      <c r="J148" s="42">
        <v>4.9837486457204765</v>
      </c>
      <c r="K148" s="17">
        <v>6.6417722370528569</v>
      </c>
      <c r="L148" s="42">
        <f t="shared" si="0"/>
        <v>10.362647445827378</v>
      </c>
      <c r="M148" s="1">
        <v>7.13</v>
      </c>
      <c r="N148" s="1">
        <v>17.439430599999998</v>
      </c>
      <c r="O148" s="1">
        <v>9.0210817999999993</v>
      </c>
      <c r="P148" s="1">
        <v>3.5680771</v>
      </c>
      <c r="Q148" s="1">
        <v>0.80702229999999997</v>
      </c>
      <c r="R148" s="17">
        <v>34.953238474763118</v>
      </c>
      <c r="S148" s="17">
        <v>20.439623470861431</v>
      </c>
      <c r="T148" s="17">
        <v>10.181738325073958</v>
      </c>
      <c r="U148" s="17">
        <v>4.3318766788277303</v>
      </c>
      <c r="V148" s="17">
        <v>12.797532357238417</v>
      </c>
    </row>
    <row r="149" spans="1:22" x14ac:dyDescent="0.3">
      <c r="A149" s="1" t="s">
        <v>269</v>
      </c>
      <c r="B149" s="1">
        <v>17.5</v>
      </c>
      <c r="C149" s="1" t="s">
        <v>61</v>
      </c>
      <c r="D149" s="1">
        <v>2</v>
      </c>
      <c r="E149" s="30" t="s">
        <v>275</v>
      </c>
      <c r="F149" s="30">
        <v>0</v>
      </c>
      <c r="G149" s="30" t="s">
        <v>276</v>
      </c>
      <c r="H149" s="17">
        <v>78.385978160428465</v>
      </c>
      <c r="I149" s="17">
        <v>74.458106223856007</v>
      </c>
      <c r="J149" s="42">
        <v>4.947916666666667</v>
      </c>
      <c r="K149" s="17">
        <v>6.6877125586242832</v>
      </c>
      <c r="L149" s="42">
        <f t="shared" si="0"/>
        <v>10.8737243247351</v>
      </c>
      <c r="M149" s="1">
        <v>7.12</v>
      </c>
      <c r="N149" s="1">
        <v>16.561345899999999</v>
      </c>
      <c r="O149" s="1">
        <v>8.521666999999999</v>
      </c>
      <c r="P149" s="1">
        <v>3.4633625000000001</v>
      </c>
      <c r="Q149" s="1">
        <v>0.78133569999999997</v>
      </c>
      <c r="R149" s="17">
        <v>37.752852366547934</v>
      </c>
      <c r="S149" s="17">
        <v>22.480057837020958</v>
      </c>
      <c r="T149" s="17">
        <v>10.800722882107681</v>
      </c>
      <c r="U149" s="17">
        <v>4.472071647419293</v>
      </c>
      <c r="V149" s="17">
        <v>13.050130535520065</v>
      </c>
    </row>
    <row r="150" spans="1:22" x14ac:dyDescent="0.3">
      <c r="A150" s="1" t="s">
        <v>269</v>
      </c>
      <c r="B150" s="1">
        <v>17.5</v>
      </c>
      <c r="C150" s="1" t="s">
        <v>37</v>
      </c>
      <c r="D150" s="1">
        <v>1</v>
      </c>
      <c r="E150" s="30" t="s">
        <v>87</v>
      </c>
      <c r="F150" s="30">
        <v>30</v>
      </c>
      <c r="G150" s="30" t="s">
        <v>277</v>
      </c>
      <c r="H150" s="17">
        <v>59.616783895221914</v>
      </c>
      <c r="I150" s="17">
        <v>71.847030105777037</v>
      </c>
      <c r="J150" s="42">
        <v>4.4055201698513802</v>
      </c>
      <c r="K150" s="17">
        <v>6.2694750000000008</v>
      </c>
      <c r="L150" s="42">
        <f t="shared" si="0"/>
        <v>11.649717688428879</v>
      </c>
      <c r="M150" s="1">
        <v>7.58</v>
      </c>
      <c r="N150" s="1">
        <v>11.389799999999999</v>
      </c>
      <c r="O150" s="1">
        <v>7.2930218999999994</v>
      </c>
      <c r="P150" s="1">
        <v>2.4121554999999999</v>
      </c>
      <c r="Q150" s="1">
        <v>0.4331873</v>
      </c>
      <c r="R150" s="17">
        <v>34.922358576979178</v>
      </c>
      <c r="S150" s="17">
        <v>20.814465186700104</v>
      </c>
      <c r="T150" s="17">
        <v>10.179080773586605</v>
      </c>
      <c r="U150" s="17">
        <v>3.9288126166924697</v>
      </c>
      <c r="V150" s="17">
        <v>12.438730478138213</v>
      </c>
    </row>
    <row r="151" spans="1:22" x14ac:dyDescent="0.3">
      <c r="A151" s="1" t="s">
        <v>269</v>
      </c>
      <c r="B151" s="1">
        <v>17.5</v>
      </c>
      <c r="C151" s="1" t="s">
        <v>37</v>
      </c>
      <c r="D151" s="1">
        <v>2</v>
      </c>
      <c r="E151" s="30" t="s">
        <v>95</v>
      </c>
      <c r="F151" s="30">
        <v>30</v>
      </c>
      <c r="G151" s="30" t="s">
        <v>278</v>
      </c>
      <c r="H151" s="17">
        <v>58.800829143512402</v>
      </c>
      <c r="I151" s="17">
        <v>71.198199887492976</v>
      </c>
      <c r="J151" s="42">
        <v>5.0799623706491062</v>
      </c>
      <c r="K151" s="17">
        <v>6.3609615797958092</v>
      </c>
      <c r="L151" s="42">
        <f t="shared" si="0"/>
        <v>8.0062450571668933</v>
      </c>
      <c r="M151" s="1">
        <v>7.52</v>
      </c>
      <c r="N151" s="1">
        <v>8.4964695000000034</v>
      </c>
      <c r="O151" s="1">
        <v>5.8851006999999997</v>
      </c>
      <c r="P151" s="1">
        <v>1.8135577000000001</v>
      </c>
      <c r="Q151" s="1">
        <v>0.30557960000000001</v>
      </c>
      <c r="R151" s="17">
        <v>34.972315524262882</v>
      </c>
      <c r="S151" s="17">
        <v>24.99822895949044</v>
      </c>
      <c r="T151" s="17">
        <v>5.98863662012592</v>
      </c>
      <c r="U151" s="17">
        <v>3.9854499446465201</v>
      </c>
      <c r="V151" s="17">
        <v>12.282037401073021</v>
      </c>
    </row>
    <row r="152" spans="1:22" x14ac:dyDescent="0.3">
      <c r="A152" s="1" t="s">
        <v>269</v>
      </c>
      <c r="B152" s="1">
        <v>17.5</v>
      </c>
      <c r="C152" s="1" t="s">
        <v>37</v>
      </c>
      <c r="D152" s="1">
        <v>1</v>
      </c>
      <c r="E152" s="30" t="s">
        <v>89</v>
      </c>
      <c r="F152" s="30">
        <v>90</v>
      </c>
      <c r="G152" s="30" t="s">
        <v>279</v>
      </c>
      <c r="H152" s="17">
        <v>57.601097614344674</v>
      </c>
      <c r="I152" s="17">
        <v>69.568788501026702</v>
      </c>
      <c r="J152" s="42">
        <v>5.2929085303186021</v>
      </c>
      <c r="K152" s="17">
        <v>6.1867161832061068</v>
      </c>
      <c r="L152" s="42">
        <f t="shared" si="0"/>
        <v>5.5862978305469042</v>
      </c>
      <c r="M152" s="1">
        <v>7.84</v>
      </c>
      <c r="N152" s="1">
        <v>5.0072895999999991</v>
      </c>
      <c r="O152" s="1">
        <v>1.5171892</v>
      </c>
      <c r="P152" s="1">
        <v>2.2656954999999996</v>
      </c>
      <c r="Q152" s="1">
        <v>0.51497820000000005</v>
      </c>
      <c r="R152" s="17">
        <v>34.365712551638275</v>
      </c>
      <c r="S152" s="17">
        <v>20.30326974287706</v>
      </c>
      <c r="T152" s="17">
        <v>9.5913171442573599</v>
      </c>
      <c r="U152" s="17">
        <v>4.4711256645038544</v>
      </c>
      <c r="V152" s="17">
        <v>13.941112819041294</v>
      </c>
    </row>
    <row r="153" spans="1:22" x14ac:dyDescent="0.3">
      <c r="A153" s="1" t="s">
        <v>269</v>
      </c>
      <c r="B153" s="1">
        <v>17.5</v>
      </c>
      <c r="C153" s="1" t="s">
        <v>37</v>
      </c>
      <c r="D153" s="1">
        <v>2</v>
      </c>
      <c r="E153" s="30" t="s">
        <v>97</v>
      </c>
      <c r="F153" s="30">
        <v>90</v>
      </c>
      <c r="G153" s="30" t="s">
        <v>280</v>
      </c>
      <c r="H153" s="17">
        <v>52.085845189293465</v>
      </c>
      <c r="I153" s="17">
        <v>66.643518518518533</v>
      </c>
      <c r="J153" s="42">
        <v>5.2459016393442619</v>
      </c>
      <c r="K153" s="17">
        <v>6.1003992846193151</v>
      </c>
      <c r="L153" s="42">
        <f t="shared" si="0"/>
        <v>5.3406102829690827</v>
      </c>
      <c r="M153" s="1">
        <v>8.44</v>
      </c>
      <c r="N153" s="1">
        <v>1.8074460999999997</v>
      </c>
      <c r="O153" s="1">
        <v>1.2904246000000001</v>
      </c>
      <c r="P153" s="1">
        <v>0.28985059999999996</v>
      </c>
      <c r="Q153" s="1">
        <v>0.10005</v>
      </c>
      <c r="R153" s="17">
        <v>34.581435395336257</v>
      </c>
      <c r="S153" s="17">
        <v>20.696168733814403</v>
      </c>
      <c r="T153" s="17">
        <v>9.2088685263806589</v>
      </c>
      <c r="U153" s="17">
        <v>4.6763981351411976</v>
      </c>
      <c r="V153" s="17">
        <v>10.39652843384993</v>
      </c>
    </row>
    <row r="154" spans="1:22" x14ac:dyDescent="0.3">
      <c r="A154" s="1" t="s">
        <v>269</v>
      </c>
      <c r="B154" s="1">
        <v>17.5</v>
      </c>
      <c r="C154" s="1" t="s">
        <v>61</v>
      </c>
      <c r="D154" s="1">
        <v>1</v>
      </c>
      <c r="E154" s="30" t="s">
        <v>107</v>
      </c>
      <c r="F154" s="30">
        <v>90</v>
      </c>
      <c r="G154" s="30" t="s">
        <v>281</v>
      </c>
      <c r="H154" s="17">
        <v>69.575319478507794</v>
      </c>
      <c r="I154" s="17">
        <v>69.792545117220456</v>
      </c>
      <c r="J154" s="42">
        <v>5.0998948475289172</v>
      </c>
      <c r="K154" s="17">
        <v>6.4707856071964018</v>
      </c>
      <c r="L154" s="42">
        <f t="shared" si="0"/>
        <v>8.5680672479217783</v>
      </c>
      <c r="M154" s="1">
        <v>7.77</v>
      </c>
      <c r="N154" s="1">
        <v>2.6413013000000003</v>
      </c>
      <c r="O154" s="1">
        <v>1.1864869</v>
      </c>
      <c r="P154" s="1">
        <v>1.0603838000000001</v>
      </c>
      <c r="Q154" s="1">
        <v>0</v>
      </c>
      <c r="R154" s="17">
        <v>33.031423733739373</v>
      </c>
      <c r="S154" s="17">
        <v>19.014124750635354</v>
      </c>
      <c r="T154" s="17">
        <v>8.6801082408853318</v>
      </c>
      <c r="U154" s="17">
        <v>5.3371907422186862</v>
      </c>
      <c r="V154" s="17">
        <v>12.639266952163879</v>
      </c>
    </row>
    <row r="155" spans="1:22" x14ac:dyDescent="0.3">
      <c r="A155" s="1" t="s">
        <v>269</v>
      </c>
      <c r="B155" s="1">
        <v>17.5</v>
      </c>
      <c r="C155" s="1" t="s">
        <v>61</v>
      </c>
      <c r="D155" s="1">
        <v>2</v>
      </c>
      <c r="E155" s="30" t="s">
        <v>111</v>
      </c>
      <c r="F155" s="30">
        <v>90</v>
      </c>
      <c r="G155" s="30" t="s">
        <v>282</v>
      </c>
      <c r="H155" s="17">
        <v>73.329607016940415</v>
      </c>
      <c r="I155" s="17">
        <v>71.181471709176193</v>
      </c>
      <c r="J155" s="42">
        <v>4.9893842887473463</v>
      </c>
      <c r="K155" s="17">
        <v>6.6483098613251155</v>
      </c>
      <c r="L155" s="42">
        <f t="shared" si="0"/>
        <v>10.368284828611058</v>
      </c>
      <c r="M155" s="1">
        <v>7.63</v>
      </c>
      <c r="N155" s="1">
        <v>9.1491196000000024</v>
      </c>
      <c r="O155" s="1">
        <v>1.1566551</v>
      </c>
      <c r="P155" s="1">
        <v>5.9820229999999999</v>
      </c>
      <c r="Q155" s="1">
        <v>0.78681389999999995</v>
      </c>
      <c r="R155" s="17">
        <v>30.063868130887336</v>
      </c>
      <c r="S155" s="17">
        <v>17.48438478860804</v>
      </c>
      <c r="T155" s="17">
        <v>7.8188210241658869</v>
      </c>
      <c r="U155" s="17">
        <v>4.7606623181134111</v>
      </c>
      <c r="V155" s="17">
        <v>14.566193657671077</v>
      </c>
    </row>
    <row r="156" spans="1:22" x14ac:dyDescent="0.3">
      <c r="A156" s="1" t="s">
        <v>283</v>
      </c>
      <c r="B156" s="1">
        <v>17.5</v>
      </c>
      <c r="C156" s="1" t="s">
        <v>37</v>
      </c>
      <c r="D156" s="1">
        <v>1</v>
      </c>
      <c r="E156" s="30" t="s">
        <v>271</v>
      </c>
      <c r="F156" s="30">
        <v>0</v>
      </c>
      <c r="G156" s="30" t="s">
        <v>284</v>
      </c>
      <c r="H156" s="17">
        <v>58.192826414988232</v>
      </c>
      <c r="I156" s="17">
        <v>77.226606538895155</v>
      </c>
      <c r="J156" s="42">
        <v>3.6666666666666665</v>
      </c>
      <c r="K156" s="17">
        <v>4.8480421541826137</v>
      </c>
      <c r="L156" s="42">
        <f t="shared" si="0"/>
        <v>7.3835967969746701</v>
      </c>
      <c r="M156" s="1">
        <v>8.23</v>
      </c>
      <c r="N156" s="1">
        <v>7.8243480000000005</v>
      </c>
      <c r="O156" s="1">
        <v>4.4334476</v>
      </c>
      <c r="P156" s="1">
        <v>1.3308895000000001</v>
      </c>
      <c r="Q156" s="1">
        <v>0.279889</v>
      </c>
      <c r="R156" s="17">
        <v>38.038114230477511</v>
      </c>
      <c r="S156" s="17">
        <v>21.843675655125121</v>
      </c>
      <c r="T156" s="17">
        <v>11.999577934140852</v>
      </c>
      <c r="U156" s="17">
        <v>4.1948606412115383</v>
      </c>
      <c r="V156" s="17">
        <v>11.781492833019497</v>
      </c>
    </row>
    <row r="157" spans="1:22" x14ac:dyDescent="0.3">
      <c r="A157" s="1" t="s">
        <v>283</v>
      </c>
      <c r="B157" s="1">
        <v>17.5</v>
      </c>
      <c r="C157" s="1" t="s">
        <v>37</v>
      </c>
      <c r="D157" s="1">
        <v>2</v>
      </c>
      <c r="E157" s="30" t="s">
        <v>273</v>
      </c>
      <c r="F157" s="30">
        <v>0</v>
      </c>
      <c r="G157" s="30" t="s">
        <v>285</v>
      </c>
      <c r="H157" s="17">
        <v>57.571904679342708</v>
      </c>
      <c r="I157" s="17">
        <v>76.878032457754713</v>
      </c>
      <c r="J157" s="42">
        <v>3.6809815950920246</v>
      </c>
      <c r="K157" s="17">
        <v>4.8085181865554985</v>
      </c>
      <c r="L157" s="42">
        <f t="shared" si="0"/>
        <v>7.0471036966467118</v>
      </c>
      <c r="M157" s="1">
        <v>8.24</v>
      </c>
      <c r="N157" s="1">
        <v>7.7468418000000021</v>
      </c>
      <c r="O157" s="1">
        <v>4.3844021</v>
      </c>
      <c r="P157" s="1">
        <v>1.3110832000000001</v>
      </c>
      <c r="Q157" s="1">
        <v>0.26892460000000001</v>
      </c>
      <c r="R157" s="17">
        <v>41.454765728068722</v>
      </c>
      <c r="S157" s="17">
        <v>23.576222800270919</v>
      </c>
      <c r="T157" s="17">
        <v>13.381009509592833</v>
      </c>
      <c r="U157" s="17">
        <v>4.4975334182049691</v>
      </c>
      <c r="V157" s="17">
        <v>11.592636088647287</v>
      </c>
    </row>
    <row r="158" spans="1:22" x14ac:dyDescent="0.3">
      <c r="A158" s="1" t="s">
        <v>283</v>
      </c>
      <c r="B158" s="1">
        <v>17.5</v>
      </c>
      <c r="C158" s="1" t="s">
        <v>61</v>
      </c>
      <c r="D158" s="1">
        <v>1</v>
      </c>
      <c r="E158" s="30" t="s">
        <v>275</v>
      </c>
      <c r="F158" s="30">
        <v>0</v>
      </c>
      <c r="G158" s="30" t="s">
        <v>286</v>
      </c>
      <c r="H158" s="17">
        <v>55.490039840637444</v>
      </c>
      <c r="I158" s="17">
        <v>76.258855064139397</v>
      </c>
      <c r="J158" s="42">
        <v>2.8556034482758617</v>
      </c>
      <c r="K158" s="17">
        <v>4.1243330328738077</v>
      </c>
      <c r="L158" s="42">
        <f t="shared" si="0"/>
        <v>7.9295599037371627</v>
      </c>
      <c r="M158" s="1">
        <v>7.01</v>
      </c>
      <c r="N158" s="1">
        <v>13.787284199999998</v>
      </c>
      <c r="O158" s="1">
        <v>6.4447573</v>
      </c>
      <c r="P158" s="1">
        <v>2.7129835999999998</v>
      </c>
      <c r="Q158" s="1">
        <v>0.58056140000000001</v>
      </c>
      <c r="R158" s="17">
        <v>38.271923384271659</v>
      </c>
      <c r="S158" s="17">
        <v>21.662571353768602</v>
      </c>
      <c r="T158" s="17">
        <v>11.370513934888843</v>
      </c>
      <c r="U158" s="17">
        <v>5.2388380956142147</v>
      </c>
      <c r="V158" s="17">
        <v>15.244967082229127</v>
      </c>
    </row>
    <row r="159" spans="1:22" x14ac:dyDescent="0.3">
      <c r="A159" s="1" t="s">
        <v>283</v>
      </c>
      <c r="B159" s="1">
        <v>17.5</v>
      </c>
      <c r="C159" s="1" t="s">
        <v>61</v>
      </c>
      <c r="D159" s="1">
        <v>2</v>
      </c>
      <c r="E159" s="30" t="s">
        <v>275</v>
      </c>
      <c r="F159" s="30">
        <v>0</v>
      </c>
      <c r="G159" s="30" t="s">
        <v>287</v>
      </c>
      <c r="H159" s="17">
        <v>60.630707615645171</v>
      </c>
      <c r="I159" s="17">
        <v>77.755136695534048</v>
      </c>
      <c r="J159" s="42">
        <v>2.9721955896452541</v>
      </c>
      <c r="K159" s="17">
        <v>4.0687773658536583</v>
      </c>
      <c r="L159" s="42">
        <f t="shared" si="0"/>
        <v>6.8536361013025262</v>
      </c>
      <c r="M159" s="1">
        <v>7.11</v>
      </c>
      <c r="N159" s="1">
        <v>13.917370100000001</v>
      </c>
      <c r="O159" s="1">
        <v>6.2929710999999999</v>
      </c>
      <c r="P159" s="1">
        <v>2.6770264000000004</v>
      </c>
      <c r="Q159" s="1">
        <v>0.56784060000000003</v>
      </c>
      <c r="R159" s="17">
        <v>42.252835705064854</v>
      </c>
      <c r="S159" s="17">
        <v>24.478502604496157</v>
      </c>
      <c r="T159" s="17">
        <v>9.0447121813675331</v>
      </c>
      <c r="U159" s="17">
        <v>8.7296209192011709</v>
      </c>
      <c r="V159" s="17">
        <v>9.9215170386206086</v>
      </c>
    </row>
    <row r="160" spans="1:22" x14ac:dyDescent="0.3">
      <c r="A160" s="1" t="s">
        <v>283</v>
      </c>
      <c r="B160" s="1">
        <v>17.5</v>
      </c>
      <c r="C160" s="1" t="s">
        <v>37</v>
      </c>
      <c r="D160" s="1">
        <v>1</v>
      </c>
      <c r="E160" s="30" t="s">
        <v>87</v>
      </c>
      <c r="F160" s="30">
        <v>30</v>
      </c>
      <c r="G160" s="30" t="s">
        <v>288</v>
      </c>
      <c r="H160" s="17">
        <v>52.142554512222759</v>
      </c>
      <c r="I160" s="17">
        <v>74.905517762660608</v>
      </c>
      <c r="J160" s="42">
        <v>3.9589442815249272</v>
      </c>
      <c r="K160" s="17">
        <v>4.7495014854111401</v>
      </c>
      <c r="L160" s="42">
        <f t="shared" si="0"/>
        <v>4.940982524288831</v>
      </c>
      <c r="M160" s="1">
        <v>7.6</v>
      </c>
      <c r="N160" s="1">
        <v>5.6201846</v>
      </c>
      <c r="O160" s="1">
        <v>3.7966587000000001</v>
      </c>
      <c r="P160" s="1">
        <v>1.1341470999999999</v>
      </c>
      <c r="Q160" s="1">
        <v>0.41167790000000004</v>
      </c>
      <c r="R160" s="17">
        <v>39.740432395028897</v>
      </c>
      <c r="S160" s="17">
        <v>22.400568659224916</v>
      </c>
      <c r="T160" s="17">
        <v>12.107883535775589</v>
      </c>
      <c r="U160" s="17">
        <v>5.2319802000283984</v>
      </c>
      <c r="V160" s="17">
        <v>11.095532837827975</v>
      </c>
    </row>
    <row r="161" spans="1:22" x14ac:dyDescent="0.3">
      <c r="A161" s="1" t="s">
        <v>283</v>
      </c>
      <c r="B161" s="1">
        <v>17.5</v>
      </c>
      <c r="C161" s="1" t="s">
        <v>37</v>
      </c>
      <c r="D161" s="1">
        <v>2</v>
      </c>
      <c r="E161" s="30" t="s">
        <v>95</v>
      </c>
      <c r="F161" s="30">
        <v>30</v>
      </c>
      <c r="G161" s="30" t="s">
        <v>289</v>
      </c>
      <c r="H161" s="17">
        <v>52.64225580687696</v>
      </c>
      <c r="I161" s="17">
        <v>75.394990366088635</v>
      </c>
      <c r="J161" s="42">
        <v>3.531598513011152</v>
      </c>
      <c r="K161" s="17">
        <v>4.7054221088435373</v>
      </c>
      <c r="L161" s="42">
        <f t="shared" si="0"/>
        <v>7.3363974739524078</v>
      </c>
      <c r="M161" s="1">
        <v>7.59</v>
      </c>
      <c r="N161" s="1">
        <v>11.938849999999999</v>
      </c>
      <c r="O161" s="1">
        <v>6.9187933999999993</v>
      </c>
      <c r="P161" s="1">
        <v>2.4890702</v>
      </c>
      <c r="Q161" s="1">
        <v>0.56210830000000001</v>
      </c>
      <c r="R161" s="17">
        <v>39.973332476458168</v>
      </c>
      <c r="S161" s="17">
        <v>23.00091012199244</v>
      </c>
      <c r="T161" s="17">
        <v>11.736529295298931</v>
      </c>
      <c r="U161" s="17">
        <v>5.2358930591667967</v>
      </c>
      <c r="V161" s="17">
        <v>11.907881045823</v>
      </c>
    </row>
    <row r="162" spans="1:22" x14ac:dyDescent="0.3">
      <c r="A162" s="1" t="s">
        <v>283</v>
      </c>
      <c r="B162" s="1">
        <v>17.5</v>
      </c>
      <c r="C162" s="1" t="s">
        <v>37</v>
      </c>
      <c r="D162" s="1">
        <v>1</v>
      </c>
      <c r="E162" s="30" t="s">
        <v>89</v>
      </c>
      <c r="F162" s="30">
        <v>90</v>
      </c>
      <c r="G162" s="30" t="s">
        <v>290</v>
      </c>
      <c r="H162" s="17">
        <v>48.514715410441163</v>
      </c>
      <c r="I162" s="17">
        <v>72.561715904492104</v>
      </c>
      <c r="J162" s="42">
        <v>3.5384615384615388</v>
      </c>
      <c r="K162" s="17">
        <v>4.9761197236779422</v>
      </c>
      <c r="L162" s="42">
        <f t="shared" si="0"/>
        <v>8.9853636576025213</v>
      </c>
      <c r="M162" s="1">
        <v>7.68</v>
      </c>
      <c r="N162" s="1">
        <v>4.7097499999999997</v>
      </c>
      <c r="O162" s="1">
        <v>2.4368530000000002</v>
      </c>
      <c r="P162" s="1">
        <v>0.83562919999999996</v>
      </c>
      <c r="Q162" s="1">
        <v>0.55253089999999994</v>
      </c>
      <c r="R162" s="17">
        <v>36.527839409744189</v>
      </c>
      <c r="S162" s="17">
        <v>19.918382679569874</v>
      </c>
      <c r="T162" s="17">
        <v>11.367449051180147</v>
      </c>
      <c r="U162" s="17">
        <v>5.2420076789941685</v>
      </c>
      <c r="V162" s="17">
        <v>13.306051146223481</v>
      </c>
    </row>
    <row r="163" spans="1:22" x14ac:dyDescent="0.3">
      <c r="A163" s="1" t="s">
        <v>283</v>
      </c>
      <c r="B163" s="1">
        <v>17.5</v>
      </c>
      <c r="C163" s="1" t="s">
        <v>37</v>
      </c>
      <c r="D163" s="1">
        <v>2</v>
      </c>
      <c r="E163" s="30" t="s">
        <v>97</v>
      </c>
      <c r="F163" s="30">
        <v>90</v>
      </c>
      <c r="G163" s="30" t="s">
        <v>291</v>
      </c>
      <c r="H163" s="17">
        <v>46.816186514018781</v>
      </c>
      <c r="I163" s="17">
        <v>71.314031180400903</v>
      </c>
      <c r="J163" s="42">
        <v>4.5307443365695788</v>
      </c>
      <c r="K163" s="17">
        <v>4.7769359305431882</v>
      </c>
      <c r="L163" s="42">
        <f t="shared" si="0"/>
        <v>1.5386974623350591</v>
      </c>
      <c r="M163" s="1">
        <v>8.0299999999999994</v>
      </c>
      <c r="N163" s="1">
        <v>2.2600980000000006</v>
      </c>
      <c r="O163" s="1">
        <v>1.4380804</v>
      </c>
      <c r="P163" s="1">
        <v>0.51697990000000005</v>
      </c>
      <c r="Q163" s="1">
        <v>7.6197500000000001E-2</v>
      </c>
      <c r="R163" s="17">
        <v>40.164594611981073</v>
      </c>
      <c r="S163" s="17">
        <v>22.140376692115744</v>
      </c>
      <c r="T163" s="17">
        <v>11.925602872326678</v>
      </c>
      <c r="U163" s="17">
        <v>6.0986150475386509</v>
      </c>
      <c r="V163" s="17">
        <v>11.024350314558847</v>
      </c>
    </row>
    <row r="164" spans="1:22" x14ac:dyDescent="0.3">
      <c r="A164" s="1" t="s">
        <v>283</v>
      </c>
      <c r="B164" s="1">
        <v>17.5</v>
      </c>
      <c r="C164" s="1" t="s">
        <v>61</v>
      </c>
      <c r="D164" s="1">
        <v>1</v>
      </c>
      <c r="E164" s="30" t="s">
        <v>107</v>
      </c>
      <c r="F164" s="30">
        <v>90</v>
      </c>
      <c r="G164" s="30" t="s">
        <v>292</v>
      </c>
      <c r="H164" s="17">
        <v>45.496972452911464</v>
      </c>
      <c r="I164" s="17">
        <v>72.041031036296701</v>
      </c>
      <c r="J164" s="42">
        <v>3.3227848101265822</v>
      </c>
      <c r="K164" s="17">
        <v>4.0235907313997474</v>
      </c>
      <c r="L164" s="42">
        <f t="shared" si="0"/>
        <v>4.3800370079572826</v>
      </c>
      <c r="M164" s="1">
        <v>7.74</v>
      </c>
      <c r="N164" s="1">
        <v>10.9044937</v>
      </c>
      <c r="O164" s="1">
        <v>5.3573031000000002</v>
      </c>
      <c r="P164" s="1">
        <v>1.9224123</v>
      </c>
      <c r="Q164" s="1">
        <v>0.81376400000000004</v>
      </c>
      <c r="R164" s="17">
        <v>28.639028315840289</v>
      </c>
      <c r="S164" s="17">
        <v>16.316164289237477</v>
      </c>
      <c r="T164" s="17">
        <v>7.808296025796273</v>
      </c>
      <c r="U164" s="17">
        <v>4.5145680008065368</v>
      </c>
      <c r="V164" s="17">
        <v>13.04387871201839</v>
      </c>
    </row>
    <row r="165" spans="1:22" x14ac:dyDescent="0.3">
      <c r="A165" s="1" t="s">
        <v>283</v>
      </c>
      <c r="B165" s="1">
        <v>17.5</v>
      </c>
      <c r="C165" s="1" t="s">
        <v>61</v>
      </c>
      <c r="D165" s="1">
        <v>2</v>
      </c>
      <c r="E165" s="30" t="s">
        <v>111</v>
      </c>
      <c r="F165" s="30">
        <v>90</v>
      </c>
      <c r="G165" s="30" t="s">
        <v>293</v>
      </c>
      <c r="H165" s="17">
        <v>55.859696195957937</v>
      </c>
      <c r="I165" s="17">
        <v>76.583381754793734</v>
      </c>
      <c r="J165" s="42">
        <v>3.0793319415448854</v>
      </c>
      <c r="K165" s="17">
        <v>4.027507226683138</v>
      </c>
      <c r="L165" s="42">
        <f t="shared" si="0"/>
        <v>5.9260955321140782</v>
      </c>
      <c r="M165" s="1">
        <v>7.1</v>
      </c>
      <c r="N165" s="1">
        <v>11.048654699999998</v>
      </c>
      <c r="O165" s="1">
        <v>5.0284522999999997</v>
      </c>
      <c r="P165" s="1">
        <v>2.0509240000000002</v>
      </c>
      <c r="Q165" s="1">
        <v>0.75398119999999991</v>
      </c>
      <c r="R165" s="17">
        <v>36.357451514764492</v>
      </c>
      <c r="S165" s="17">
        <v>20.368587561585485</v>
      </c>
      <c r="T165" s="17">
        <v>10.848677037291157</v>
      </c>
      <c r="U165" s="17">
        <v>5.1401869158878473</v>
      </c>
      <c r="V165" s="17">
        <v>13.066613697383517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123-51DB-406D-877B-578527BBF276}">
  <dimension ref="A1:N145"/>
  <sheetViews>
    <sheetView zoomScale="85" zoomScaleNormal="85" workbookViewId="0">
      <selection activeCell="G2" sqref="G2"/>
    </sheetView>
  </sheetViews>
  <sheetFormatPr defaultRowHeight="14.4" x14ac:dyDescent="0.3"/>
  <cols>
    <col min="1" max="2" width="11.5546875" style="1"/>
    <col min="3" max="3" width="16.88671875" style="1" customWidth="1"/>
    <col min="4" max="4" width="7.6640625" style="1" customWidth="1"/>
    <col min="5" max="5" width="11.5546875" style="1"/>
    <col min="6" max="6" width="10.88671875" style="1" customWidth="1"/>
    <col min="7" max="7" width="10.88671875" style="10" customWidth="1"/>
    <col min="8" max="8" width="12.88671875" style="1" customWidth="1"/>
    <col min="9" max="9" width="12" style="1" customWidth="1"/>
    <col min="10" max="11" width="10.88671875" style="1" customWidth="1"/>
    <col min="14" max="14" width="11.5546875" style="1"/>
    <col min="15" max="15" width="6.44140625" customWidth="1"/>
  </cols>
  <sheetData>
    <row r="1" spans="1:14" x14ac:dyDescent="0.3">
      <c r="A1" s="1" t="s">
        <v>261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267</v>
      </c>
      <c r="G1" s="10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N1" s="1" t="s">
        <v>5</v>
      </c>
    </row>
    <row r="2" spans="1:14" x14ac:dyDescent="0.3">
      <c r="A2" s="10" t="s">
        <v>263</v>
      </c>
      <c r="B2" s="11" t="s">
        <v>19</v>
      </c>
      <c r="C2" s="11" t="s">
        <v>20</v>
      </c>
      <c r="D2" s="11">
        <v>1</v>
      </c>
      <c r="E2" s="11" t="s">
        <v>23</v>
      </c>
      <c r="F2" s="11">
        <v>0.76700000000000002</v>
      </c>
      <c r="G2" s="7">
        <v>0.42285625759500889</v>
      </c>
      <c r="H2" s="7">
        <v>0.23180415334713747</v>
      </c>
      <c r="I2" s="7">
        <v>0.15296264392656173</v>
      </c>
      <c r="J2" s="7">
        <v>3.8089460321309707E-2</v>
      </c>
      <c r="K2" s="1">
        <v>0.11090198973106168</v>
      </c>
      <c r="N2" s="3">
        <v>63.4</v>
      </c>
    </row>
    <row r="3" spans="1:14" x14ac:dyDescent="0.3">
      <c r="A3" s="10" t="s">
        <v>263</v>
      </c>
      <c r="B3" s="11" t="s">
        <v>19</v>
      </c>
      <c r="C3" s="11" t="s">
        <v>20</v>
      </c>
      <c r="D3" s="11">
        <v>2</v>
      </c>
      <c r="E3" s="11" t="s">
        <v>31</v>
      </c>
      <c r="F3" s="11">
        <v>0.77559999999999996</v>
      </c>
      <c r="G3" s="7">
        <v>0.46209232980625958</v>
      </c>
      <c r="H3" s="7">
        <v>0.24991375124852369</v>
      </c>
      <c r="I3" s="7">
        <v>0.16866855341805306</v>
      </c>
      <c r="J3" s="7">
        <v>4.3510025139682836E-2</v>
      </c>
      <c r="K3" s="1">
        <v>0.12630407347529241</v>
      </c>
      <c r="N3" s="3">
        <v>67.2</v>
      </c>
    </row>
    <row r="4" spans="1:14" x14ac:dyDescent="0.3">
      <c r="A4" s="10" t="s">
        <v>263</v>
      </c>
      <c r="B4" s="11" t="s">
        <v>19</v>
      </c>
      <c r="C4" s="11" t="s">
        <v>37</v>
      </c>
      <c r="D4" s="11">
        <v>1</v>
      </c>
      <c r="E4" s="11" t="s">
        <v>40</v>
      </c>
      <c r="F4" s="11">
        <v>0.77810000000000001</v>
      </c>
      <c r="G4" s="7">
        <v>0.47374054565335449</v>
      </c>
      <c r="H4" s="7">
        <v>0.25942280547625046</v>
      </c>
      <c r="I4" s="7">
        <v>0.17757136618666819</v>
      </c>
      <c r="J4" s="7">
        <v>3.6746373990435829E-2</v>
      </c>
      <c r="K4" s="1">
        <v>0.11418825286131895</v>
      </c>
      <c r="N4" s="3">
        <v>67</v>
      </c>
    </row>
    <row r="5" spans="1:14" x14ac:dyDescent="0.3">
      <c r="A5" s="10" t="s">
        <v>263</v>
      </c>
      <c r="B5" s="11" t="s">
        <v>19</v>
      </c>
      <c r="C5" s="11" t="s">
        <v>37</v>
      </c>
      <c r="D5" s="11">
        <v>2</v>
      </c>
      <c r="E5" s="11" t="s">
        <v>48</v>
      </c>
      <c r="F5" s="11">
        <v>0.7642000000000001</v>
      </c>
      <c r="G5" s="7">
        <v>0.41825692334725295</v>
      </c>
      <c r="H5" s="7">
        <v>0.23130327135078502</v>
      </c>
      <c r="I5" s="7">
        <v>0.1528332011725608</v>
      </c>
      <c r="J5" s="7">
        <v>3.4120450823907141E-2</v>
      </c>
      <c r="K5" s="1">
        <v>0.12522414991321276</v>
      </c>
      <c r="N5" s="3">
        <v>61.9</v>
      </c>
    </row>
    <row r="6" spans="1:14" x14ac:dyDescent="0.3">
      <c r="A6" s="10" t="s">
        <v>263</v>
      </c>
      <c r="B6" s="11" t="s">
        <v>19</v>
      </c>
      <c r="C6" s="12" t="s">
        <v>54</v>
      </c>
      <c r="D6" s="12">
        <v>1</v>
      </c>
      <c r="E6" s="12" t="s">
        <v>173</v>
      </c>
      <c r="F6" s="12">
        <v>0.75666029318036943</v>
      </c>
      <c r="G6" s="7">
        <v>0.40303199957462127</v>
      </c>
      <c r="H6" s="7">
        <v>0.21905874917251369</v>
      </c>
      <c r="I6" s="7">
        <v>0.14258839591681011</v>
      </c>
      <c r="J6" s="7">
        <v>4.1384854485297468E-2</v>
      </c>
      <c r="K6" s="1">
        <v>0.13793743673002098</v>
      </c>
      <c r="N6" s="3">
        <v>72.299482982664699</v>
      </c>
    </row>
    <row r="7" spans="1:14" x14ac:dyDescent="0.3">
      <c r="A7" s="10" t="s">
        <v>263</v>
      </c>
      <c r="B7" s="11" t="s">
        <v>19</v>
      </c>
      <c r="C7" s="11" t="s">
        <v>54</v>
      </c>
      <c r="D7" s="11">
        <v>2</v>
      </c>
      <c r="E7" s="11" t="s">
        <v>175</v>
      </c>
      <c r="F7" s="11">
        <v>0.75808427241548293</v>
      </c>
      <c r="G7" s="10">
        <v>0.37182352873527419</v>
      </c>
      <c r="H7" s="10">
        <v>0.19224675350166406</v>
      </c>
      <c r="I7" s="10">
        <v>0.14034254891219225</v>
      </c>
      <c r="J7" s="10">
        <v>3.9234226321417855E-2</v>
      </c>
      <c r="K7" s="1">
        <v>0.13674140149955588</v>
      </c>
      <c r="N7" s="3">
        <v>70.240041297427496</v>
      </c>
    </row>
    <row r="8" spans="1:14" x14ac:dyDescent="0.3">
      <c r="A8" s="10" t="s">
        <v>263</v>
      </c>
      <c r="B8" s="11" t="s">
        <v>19</v>
      </c>
      <c r="C8" s="12" t="s">
        <v>61</v>
      </c>
      <c r="D8" s="12">
        <v>1</v>
      </c>
      <c r="E8" s="12" t="s">
        <v>177</v>
      </c>
      <c r="F8" s="12">
        <v>0.76047995139732694</v>
      </c>
      <c r="G8" s="7">
        <v>0.38794374051072011</v>
      </c>
      <c r="H8" s="7">
        <v>0.21530044288816491</v>
      </c>
      <c r="I8" s="7">
        <v>0.14143591409257186</v>
      </c>
      <c r="J8" s="7">
        <v>3.1207383529983361E-2</v>
      </c>
      <c r="K8" s="1">
        <v>0.1176504465096431</v>
      </c>
      <c r="N8" s="3">
        <v>69.134246863023094</v>
      </c>
    </row>
    <row r="9" spans="1:14" x14ac:dyDescent="0.3">
      <c r="A9" s="10" t="s">
        <v>263</v>
      </c>
      <c r="B9" s="11" t="s">
        <v>19</v>
      </c>
      <c r="C9" s="11" t="s">
        <v>61</v>
      </c>
      <c r="D9" s="11">
        <v>2</v>
      </c>
      <c r="E9" s="11" t="s">
        <v>179</v>
      </c>
      <c r="F9" s="11">
        <v>0.77158774373259109</v>
      </c>
      <c r="G9" s="10">
        <v>0.40952644087561901</v>
      </c>
      <c r="H9" s="10">
        <v>0.21382730249666887</v>
      </c>
      <c r="I9" s="10">
        <v>0.16090502010404464</v>
      </c>
      <c r="J9" s="10">
        <v>3.47941182749055E-2</v>
      </c>
      <c r="K9" s="1">
        <v>0.11729391968598797</v>
      </c>
      <c r="N9" s="3">
        <v>74.965866195486299</v>
      </c>
    </row>
    <row r="10" spans="1:14" x14ac:dyDescent="0.3">
      <c r="A10" s="1" t="s">
        <v>263</v>
      </c>
      <c r="B10" s="3" t="s">
        <v>68</v>
      </c>
      <c r="C10" s="3" t="s">
        <v>20</v>
      </c>
      <c r="D10" s="3">
        <v>1</v>
      </c>
      <c r="E10" s="3" t="s">
        <v>75</v>
      </c>
      <c r="F10" s="3">
        <v>0.76700000000000002</v>
      </c>
      <c r="G10" s="7">
        <v>0.42285625759500889</v>
      </c>
      <c r="H10" s="7">
        <v>0.23180415334713747</v>
      </c>
      <c r="I10" s="7">
        <v>0.15296264392656173</v>
      </c>
      <c r="J10" s="7">
        <v>3.8089460321309707E-2</v>
      </c>
      <c r="K10" s="1">
        <v>0.11090198973106168</v>
      </c>
      <c r="N10" s="3">
        <v>63.4</v>
      </c>
    </row>
    <row r="11" spans="1:14" x14ac:dyDescent="0.3">
      <c r="A11" s="1" t="s">
        <v>263</v>
      </c>
      <c r="B11" s="3" t="s">
        <v>68</v>
      </c>
      <c r="C11" s="3" t="s">
        <v>20</v>
      </c>
      <c r="D11" s="3">
        <v>2</v>
      </c>
      <c r="E11" s="3" t="s">
        <v>83</v>
      </c>
      <c r="F11" s="3">
        <v>0.77559999999999996</v>
      </c>
      <c r="G11" s="7">
        <v>0.46209232980625958</v>
      </c>
      <c r="H11" s="7">
        <v>0.24991375124852369</v>
      </c>
      <c r="I11" s="7">
        <v>0.16866855341805306</v>
      </c>
      <c r="J11" s="7">
        <v>4.3510025139682836E-2</v>
      </c>
      <c r="K11" s="1">
        <v>0.12630407347529241</v>
      </c>
      <c r="N11" s="3">
        <v>67.2</v>
      </c>
    </row>
    <row r="12" spans="1:14" x14ac:dyDescent="0.3">
      <c r="A12" s="1" t="s">
        <v>263</v>
      </c>
      <c r="B12" s="3" t="s">
        <v>68</v>
      </c>
      <c r="C12" s="3" t="s">
        <v>37</v>
      </c>
      <c r="D12" s="3">
        <v>1</v>
      </c>
      <c r="E12" s="3" t="s">
        <v>91</v>
      </c>
      <c r="F12" s="3">
        <v>0.77810000000000001</v>
      </c>
      <c r="G12" s="7">
        <v>0.47374054565335449</v>
      </c>
      <c r="H12" s="7">
        <v>0.25942280547625046</v>
      </c>
      <c r="I12" s="7">
        <v>0.17757136618666819</v>
      </c>
      <c r="J12" s="7">
        <v>3.6746373990435829E-2</v>
      </c>
      <c r="K12" s="1">
        <v>0.11418825286131895</v>
      </c>
      <c r="N12" s="3">
        <v>67</v>
      </c>
    </row>
    <row r="13" spans="1:14" x14ac:dyDescent="0.3">
      <c r="A13" s="1" t="s">
        <v>263</v>
      </c>
      <c r="B13" s="3" t="s">
        <v>68</v>
      </c>
      <c r="C13" s="3" t="s">
        <v>37</v>
      </c>
      <c r="D13" s="3">
        <v>2</v>
      </c>
      <c r="E13" s="3" t="s">
        <v>99</v>
      </c>
      <c r="F13" s="3">
        <v>0.7642000000000001</v>
      </c>
      <c r="G13" s="7">
        <v>0.41825692334725295</v>
      </c>
      <c r="H13" s="7">
        <v>0.23130327135078502</v>
      </c>
      <c r="I13" s="7">
        <v>0.1528332011725608</v>
      </c>
      <c r="J13" s="7">
        <v>3.4120450823907141E-2</v>
      </c>
      <c r="K13" s="1">
        <v>0.12522414991321276</v>
      </c>
      <c r="N13" s="3">
        <v>61.9</v>
      </c>
    </row>
    <row r="14" spans="1:14" x14ac:dyDescent="0.3">
      <c r="A14" s="1" t="s">
        <v>263</v>
      </c>
      <c r="B14" s="3" t="s">
        <v>68</v>
      </c>
      <c r="C14" s="12" t="s">
        <v>54</v>
      </c>
      <c r="D14" s="12">
        <v>1</v>
      </c>
      <c r="E14" s="12" t="s">
        <v>185</v>
      </c>
      <c r="F14" s="12">
        <v>0.75666029318036943</v>
      </c>
      <c r="G14" s="7">
        <v>0.40303199957462127</v>
      </c>
      <c r="H14" s="7">
        <v>0.21905874917251369</v>
      </c>
      <c r="I14" s="7">
        <v>0.14258839591681011</v>
      </c>
      <c r="J14" s="7">
        <v>4.1384854485297468E-2</v>
      </c>
      <c r="K14" s="1">
        <v>0.13793743673002098</v>
      </c>
      <c r="N14" s="3">
        <v>72.299482982664699</v>
      </c>
    </row>
    <row r="15" spans="1:14" x14ac:dyDescent="0.3">
      <c r="A15" s="1" t="s">
        <v>263</v>
      </c>
      <c r="B15" s="3" t="s">
        <v>68</v>
      </c>
      <c r="C15" s="3" t="s">
        <v>54</v>
      </c>
      <c r="D15" s="3">
        <v>2</v>
      </c>
      <c r="E15" s="3" t="s">
        <v>187</v>
      </c>
      <c r="F15" s="3">
        <v>0.75808427241548293</v>
      </c>
      <c r="G15" s="10">
        <v>0.37182352873527419</v>
      </c>
      <c r="H15" s="10">
        <v>0.19224675350166406</v>
      </c>
      <c r="I15" s="10">
        <v>0.14034254891219225</v>
      </c>
      <c r="J15" s="10">
        <v>3.9234226321417855E-2</v>
      </c>
      <c r="K15" s="1">
        <v>0.13674140149955588</v>
      </c>
      <c r="N15" s="3">
        <v>70.240041297427496</v>
      </c>
    </row>
    <row r="16" spans="1:14" x14ac:dyDescent="0.3">
      <c r="A16" s="1" t="s">
        <v>263</v>
      </c>
      <c r="B16" s="3" t="s">
        <v>68</v>
      </c>
      <c r="C16" s="12" t="s">
        <v>61</v>
      </c>
      <c r="D16" s="12">
        <v>1</v>
      </c>
      <c r="E16" s="12" t="s">
        <v>189</v>
      </c>
      <c r="F16" s="12">
        <v>0.76047995139732694</v>
      </c>
      <c r="G16" s="7">
        <v>0.38794374051072011</v>
      </c>
      <c r="H16" s="7">
        <v>0.21530044288816491</v>
      </c>
      <c r="I16" s="7">
        <v>0.14143591409257186</v>
      </c>
      <c r="J16" s="7">
        <v>3.1207383529983361E-2</v>
      </c>
      <c r="K16" s="1">
        <v>0.1176504465096431</v>
      </c>
      <c r="N16" s="3">
        <v>69.134246863023094</v>
      </c>
    </row>
    <row r="17" spans="1:14" x14ac:dyDescent="0.3">
      <c r="A17" s="1" t="s">
        <v>263</v>
      </c>
      <c r="B17" s="3" t="s">
        <v>68</v>
      </c>
      <c r="C17" s="3" t="s">
        <v>61</v>
      </c>
      <c r="D17" s="3">
        <v>2</v>
      </c>
      <c r="E17" s="3" t="s">
        <v>191</v>
      </c>
      <c r="F17" s="3">
        <v>0.77158774373259109</v>
      </c>
      <c r="G17" s="10">
        <v>0.40952644087561901</v>
      </c>
      <c r="H17" s="10">
        <v>0.21382730249666887</v>
      </c>
      <c r="I17" s="10">
        <v>0.16090502010404464</v>
      </c>
      <c r="J17" s="10">
        <v>3.47941182749055E-2</v>
      </c>
      <c r="K17" s="1">
        <v>0.11729391968598797</v>
      </c>
      <c r="N17" s="3">
        <v>74.965866195486299</v>
      </c>
    </row>
    <row r="18" spans="1:14" x14ac:dyDescent="0.3">
      <c r="A18" s="1" t="s">
        <v>263</v>
      </c>
      <c r="B18" s="3" t="s">
        <v>113</v>
      </c>
      <c r="C18" s="3" t="s">
        <v>20</v>
      </c>
      <c r="D18" s="3">
        <v>1</v>
      </c>
      <c r="E18" s="3" t="s">
        <v>120</v>
      </c>
      <c r="F18" s="3">
        <v>0.76700000000000002</v>
      </c>
      <c r="G18" s="7">
        <v>0.42285625759500889</v>
      </c>
      <c r="H18" s="7">
        <v>0.23180415334713747</v>
      </c>
      <c r="I18" s="7">
        <v>0.15296264392656173</v>
      </c>
      <c r="J18" s="7">
        <v>3.8089460321309707E-2</v>
      </c>
      <c r="K18" s="1">
        <v>0.11090198973106168</v>
      </c>
      <c r="N18" s="3">
        <v>63.4</v>
      </c>
    </row>
    <row r="19" spans="1:14" x14ac:dyDescent="0.3">
      <c r="A19" s="1" t="s">
        <v>263</v>
      </c>
      <c r="B19" s="3" t="s">
        <v>113</v>
      </c>
      <c r="C19" s="3" t="s">
        <v>20</v>
      </c>
      <c r="D19" s="3">
        <v>2</v>
      </c>
      <c r="E19" s="3" t="s">
        <v>128</v>
      </c>
      <c r="F19" s="3">
        <v>0.77559999999999996</v>
      </c>
      <c r="G19" s="7">
        <v>0.46209232980625958</v>
      </c>
      <c r="H19" s="7">
        <v>0.24991375124852369</v>
      </c>
      <c r="I19" s="7">
        <v>0.16866855341805306</v>
      </c>
      <c r="J19" s="7">
        <v>4.3510025139682836E-2</v>
      </c>
      <c r="K19" s="1">
        <v>0.12630407347529241</v>
      </c>
      <c r="N19" s="3">
        <v>67.2</v>
      </c>
    </row>
    <row r="20" spans="1:14" x14ac:dyDescent="0.3">
      <c r="A20" s="1" t="s">
        <v>263</v>
      </c>
      <c r="B20" s="3" t="s">
        <v>113</v>
      </c>
      <c r="C20" s="3" t="s">
        <v>37</v>
      </c>
      <c r="D20" s="3">
        <v>1</v>
      </c>
      <c r="E20" s="3" t="s">
        <v>136</v>
      </c>
      <c r="F20" s="3">
        <v>0.77810000000000001</v>
      </c>
      <c r="G20" s="7">
        <v>0.47374054565335449</v>
      </c>
      <c r="H20" s="7">
        <v>0.25942280547625046</v>
      </c>
      <c r="I20" s="7">
        <v>0.17757136618666819</v>
      </c>
      <c r="J20" s="7">
        <v>3.6746373990435829E-2</v>
      </c>
      <c r="K20" s="1">
        <v>0.11418825286131895</v>
      </c>
      <c r="N20" s="3">
        <v>67</v>
      </c>
    </row>
    <row r="21" spans="1:14" x14ac:dyDescent="0.3">
      <c r="A21" s="1" t="s">
        <v>263</v>
      </c>
      <c r="B21" s="3" t="s">
        <v>113</v>
      </c>
      <c r="C21" s="3" t="s">
        <v>37</v>
      </c>
      <c r="D21" s="3">
        <v>2</v>
      </c>
      <c r="E21" s="3" t="s">
        <v>144</v>
      </c>
      <c r="F21" s="3">
        <v>0.7642000000000001</v>
      </c>
      <c r="G21" s="7">
        <v>0.41825692334725295</v>
      </c>
      <c r="H21" s="7">
        <v>0.23130327135078502</v>
      </c>
      <c r="I21" s="7">
        <v>0.1528332011725608</v>
      </c>
      <c r="J21" s="7">
        <v>3.4120450823907141E-2</v>
      </c>
      <c r="K21" s="1">
        <v>0.12522414991321276</v>
      </c>
      <c r="N21" s="3">
        <v>61.9</v>
      </c>
    </row>
    <row r="22" spans="1:14" x14ac:dyDescent="0.3">
      <c r="A22" s="1" t="s">
        <v>263</v>
      </c>
      <c r="B22" s="3" t="s">
        <v>113</v>
      </c>
      <c r="C22" s="3" t="s">
        <v>54</v>
      </c>
      <c r="D22" s="3">
        <v>1</v>
      </c>
      <c r="E22" s="3" t="s">
        <v>197</v>
      </c>
      <c r="F22" s="3">
        <v>0.75666029318036943</v>
      </c>
      <c r="G22" s="7">
        <v>0.40303199957462127</v>
      </c>
      <c r="H22" s="7">
        <v>0.21905874917251369</v>
      </c>
      <c r="I22" s="7">
        <v>0.14258839591681011</v>
      </c>
      <c r="J22" s="7">
        <v>4.1384854485297468E-2</v>
      </c>
      <c r="K22" s="1">
        <v>0.13793743673002098</v>
      </c>
      <c r="N22" s="3">
        <v>72.299482982664699</v>
      </c>
    </row>
    <row r="23" spans="1:14" x14ac:dyDescent="0.3">
      <c r="A23" s="1" t="s">
        <v>263</v>
      </c>
      <c r="B23" s="3" t="s">
        <v>113</v>
      </c>
      <c r="C23" s="3" t="s">
        <v>54</v>
      </c>
      <c r="D23" s="3">
        <v>2</v>
      </c>
      <c r="E23" s="3" t="s">
        <v>199</v>
      </c>
      <c r="F23" s="3">
        <v>0.75808427241548293</v>
      </c>
      <c r="G23" s="10">
        <v>0.37182352873527419</v>
      </c>
      <c r="H23" s="10">
        <v>0.19224675350166406</v>
      </c>
      <c r="I23" s="10">
        <v>0.14034254891219225</v>
      </c>
      <c r="J23" s="10">
        <v>3.9234226321417855E-2</v>
      </c>
      <c r="K23" s="1">
        <v>0.13674140149955588</v>
      </c>
      <c r="N23" s="3">
        <v>70.240041297427496</v>
      </c>
    </row>
    <row r="24" spans="1:14" x14ac:dyDescent="0.3">
      <c r="A24" s="1" t="s">
        <v>263</v>
      </c>
      <c r="B24" s="3" t="s">
        <v>113</v>
      </c>
      <c r="C24" s="3" t="s">
        <v>61</v>
      </c>
      <c r="D24" s="3">
        <v>1</v>
      </c>
      <c r="E24" s="3" t="s">
        <v>201</v>
      </c>
      <c r="F24" s="3">
        <v>0.76047995139732694</v>
      </c>
      <c r="G24" s="7">
        <v>0.38794374051072011</v>
      </c>
      <c r="H24" s="7">
        <v>0.21530044288816491</v>
      </c>
      <c r="I24" s="7">
        <v>0.14143591409257186</v>
      </c>
      <c r="J24" s="7">
        <v>3.1207383529983361E-2</v>
      </c>
      <c r="K24" s="1">
        <v>0.1176504465096431</v>
      </c>
      <c r="N24" s="3">
        <v>69.134246863023094</v>
      </c>
    </row>
    <row r="25" spans="1:14" x14ac:dyDescent="0.3">
      <c r="A25" s="1" t="s">
        <v>263</v>
      </c>
      <c r="B25" s="3" t="s">
        <v>113</v>
      </c>
      <c r="C25" s="3" t="s">
        <v>61</v>
      </c>
      <c r="D25" s="3">
        <v>2</v>
      </c>
      <c r="E25" s="3" t="s">
        <v>203</v>
      </c>
      <c r="F25" s="3">
        <v>0.77158774373259109</v>
      </c>
      <c r="G25" s="10">
        <v>0.40952644087561901</v>
      </c>
      <c r="H25" s="10">
        <v>0.21382730249666887</v>
      </c>
      <c r="I25" s="10">
        <v>0.16090502010404464</v>
      </c>
      <c r="J25" s="10">
        <v>3.47941182749055E-2</v>
      </c>
      <c r="K25" s="1">
        <v>0.11729391968598797</v>
      </c>
      <c r="N25" s="3">
        <v>74.965866195486299</v>
      </c>
    </row>
    <row r="26" spans="1:14" x14ac:dyDescent="0.3">
      <c r="A26" s="10" t="s">
        <v>263</v>
      </c>
      <c r="B26" s="11" t="s">
        <v>19</v>
      </c>
      <c r="C26" s="11" t="s">
        <v>20</v>
      </c>
      <c r="D26" s="11">
        <v>1</v>
      </c>
      <c r="E26" s="11" t="s">
        <v>21</v>
      </c>
      <c r="F26" s="3">
        <v>0.77021452145214586</v>
      </c>
      <c r="G26">
        <v>0.44448117376585311</v>
      </c>
      <c r="H26">
        <v>0.24645368040257143</v>
      </c>
      <c r="I26">
        <v>0.15214112400667865</v>
      </c>
      <c r="J26">
        <v>4.5886369356603007E-2</v>
      </c>
      <c r="K26" s="1">
        <v>0.11356537347485972</v>
      </c>
      <c r="N26" s="3">
        <v>61.116647039284999</v>
      </c>
    </row>
    <row r="27" spans="1:14" x14ac:dyDescent="0.3">
      <c r="A27" s="10" t="s">
        <v>263</v>
      </c>
      <c r="B27" s="11" t="s">
        <v>19</v>
      </c>
      <c r="C27" s="11" t="s">
        <v>20</v>
      </c>
      <c r="D27" s="11">
        <v>2</v>
      </c>
      <c r="E27" s="11" t="s">
        <v>29</v>
      </c>
      <c r="F27" s="3">
        <v>0.76404751027866558</v>
      </c>
      <c r="G27">
        <v>0.42884466364838181</v>
      </c>
      <c r="H27">
        <v>0.24110859515919925</v>
      </c>
      <c r="I27">
        <v>0.14229759016079324</v>
      </c>
      <c r="J27">
        <v>4.5438478328389341E-2</v>
      </c>
      <c r="K27" s="1">
        <v>0.11134263250738383</v>
      </c>
      <c r="N27" s="3">
        <v>59.0646382060485</v>
      </c>
    </row>
    <row r="28" spans="1:14" x14ac:dyDescent="0.3">
      <c r="A28" s="10" t="s">
        <v>263</v>
      </c>
      <c r="B28" s="11" t="s">
        <v>19</v>
      </c>
      <c r="C28" s="11" t="s">
        <v>37</v>
      </c>
      <c r="D28" s="11">
        <v>1</v>
      </c>
      <c r="E28" s="11" t="s">
        <v>38</v>
      </c>
      <c r="F28" s="3">
        <v>0.78899637243047094</v>
      </c>
      <c r="G28">
        <v>0.4383579869124643</v>
      </c>
      <c r="H28">
        <v>0.24291288684014295</v>
      </c>
      <c r="I28">
        <v>0.15006636387512529</v>
      </c>
      <c r="J28">
        <v>4.5378736197196075E-2</v>
      </c>
      <c r="K28" s="1">
        <v>0.12196092165605969</v>
      </c>
      <c r="N28" s="3">
        <v>60.051072522982601</v>
      </c>
    </row>
    <row r="29" spans="1:14" x14ac:dyDescent="0.3">
      <c r="A29" s="10" t="s">
        <v>263</v>
      </c>
      <c r="B29" s="11" t="s">
        <v>19</v>
      </c>
      <c r="C29" s="11" t="s">
        <v>37</v>
      </c>
      <c r="D29" s="11">
        <v>2</v>
      </c>
      <c r="E29" s="11" t="s">
        <v>46</v>
      </c>
      <c r="F29" s="3">
        <v>0.77458921545938475</v>
      </c>
      <c r="G29">
        <v>0.43223195465298048</v>
      </c>
      <c r="H29">
        <v>0.24048762364670201</v>
      </c>
      <c r="I29">
        <v>0.14689050687281452</v>
      </c>
      <c r="J29">
        <v>4.4853824133463949E-2</v>
      </c>
      <c r="K29" s="1">
        <v>0.11120827532162007</v>
      </c>
      <c r="N29" s="3">
        <v>60.269514698816202</v>
      </c>
    </row>
    <row r="30" spans="1:14" x14ac:dyDescent="0.3">
      <c r="A30" s="1" t="s">
        <v>263</v>
      </c>
      <c r="B30" s="3" t="s">
        <v>68</v>
      </c>
      <c r="C30" s="3" t="s">
        <v>20</v>
      </c>
      <c r="D30" s="3">
        <v>1</v>
      </c>
      <c r="E30" s="3" t="s">
        <v>69</v>
      </c>
      <c r="F30" s="3">
        <v>0.74061662198391387</v>
      </c>
      <c r="G30">
        <v>0.42726615717023192</v>
      </c>
      <c r="H30">
        <v>0.24879043023609804</v>
      </c>
      <c r="I30">
        <v>0.13702023875088659</v>
      </c>
      <c r="J30">
        <v>4.1455488183247263E-2</v>
      </c>
      <c r="K30" s="1">
        <v>0.11926267965629221</v>
      </c>
      <c r="N30" s="3">
        <v>57.389581790731903</v>
      </c>
    </row>
    <row r="31" spans="1:14" x14ac:dyDescent="0.3">
      <c r="A31" s="1" t="s">
        <v>263</v>
      </c>
      <c r="B31" s="3" t="s">
        <v>68</v>
      </c>
      <c r="C31" s="3" t="s">
        <v>20</v>
      </c>
      <c r="D31" s="3">
        <v>2</v>
      </c>
      <c r="E31" s="3" t="s">
        <v>77</v>
      </c>
      <c r="F31" s="3">
        <v>0.73257061136932367</v>
      </c>
      <c r="G31">
        <v>0.41172916535308446</v>
      </c>
      <c r="H31">
        <v>0.22294993451858908</v>
      </c>
      <c r="I31">
        <v>0.14204671675085784</v>
      </c>
      <c r="J31">
        <v>4.6732514083637502E-2</v>
      </c>
      <c r="K31" s="1">
        <v>0.10891724788912649</v>
      </c>
      <c r="N31" s="3">
        <v>55.043343927422299</v>
      </c>
    </row>
    <row r="32" spans="1:14" x14ac:dyDescent="0.3">
      <c r="A32" s="1" t="s">
        <v>263</v>
      </c>
      <c r="B32" s="3" t="s">
        <v>68</v>
      </c>
      <c r="C32" s="3" t="s">
        <v>37</v>
      </c>
      <c r="D32" s="3">
        <v>1</v>
      </c>
      <c r="E32" s="3" t="s">
        <v>85</v>
      </c>
      <c r="F32" s="3">
        <v>0.7308856926570777</v>
      </c>
      <c r="G32">
        <v>0.40670204699556733</v>
      </c>
      <c r="H32">
        <v>0.21634765765558228</v>
      </c>
      <c r="I32">
        <v>0.14474577881670311</v>
      </c>
      <c r="J32">
        <v>4.560861052328196E-2</v>
      </c>
      <c r="K32" s="1">
        <v>0.12590154074757093</v>
      </c>
      <c r="N32" s="3">
        <v>54.5969291810461</v>
      </c>
    </row>
    <row r="33" spans="1:14" x14ac:dyDescent="0.3">
      <c r="A33" s="1" t="s">
        <v>263</v>
      </c>
      <c r="B33" s="3" t="s">
        <v>68</v>
      </c>
      <c r="C33" s="3" t="s">
        <v>37</v>
      </c>
      <c r="D33" s="3">
        <v>2</v>
      </c>
      <c r="E33" s="3" t="s">
        <v>93</v>
      </c>
      <c r="F33" s="3">
        <v>0.74505462060820704</v>
      </c>
      <c r="G33">
        <v>0.44008512023286245</v>
      </c>
      <c r="H33">
        <v>0.24049626734706375</v>
      </c>
      <c r="I33">
        <v>0.15347235382814478</v>
      </c>
      <c r="J33">
        <v>4.6116499057653908E-2</v>
      </c>
      <c r="K33" s="1">
        <v>0.10072515392699746</v>
      </c>
      <c r="N33" s="3">
        <v>58.540885286136501</v>
      </c>
    </row>
    <row r="34" spans="1:14" x14ac:dyDescent="0.3">
      <c r="A34" s="1" t="s">
        <v>263</v>
      </c>
      <c r="B34" s="3" t="s">
        <v>113</v>
      </c>
      <c r="C34" s="3" t="s">
        <v>20</v>
      </c>
      <c r="D34" s="3">
        <v>1</v>
      </c>
      <c r="E34" s="3" t="s">
        <v>114</v>
      </c>
      <c r="F34" s="3">
        <v>0.72410454985479211</v>
      </c>
      <c r="G34">
        <v>0.39182092473877672</v>
      </c>
      <c r="H34">
        <v>0.21067056816414401</v>
      </c>
      <c r="I34">
        <v>0.13438871020559964</v>
      </c>
      <c r="J34">
        <v>4.6761646369033051E-2</v>
      </c>
      <c r="K34" s="1">
        <v>0.12041801150426859</v>
      </c>
      <c r="N34" s="3">
        <v>51.257368556854502</v>
      </c>
    </row>
    <row r="35" spans="1:14" x14ac:dyDescent="0.3">
      <c r="A35" s="1" t="s">
        <v>263</v>
      </c>
      <c r="B35" s="3" t="s">
        <v>113</v>
      </c>
      <c r="C35" s="3" t="s">
        <v>20</v>
      </c>
      <c r="D35" s="3">
        <v>2</v>
      </c>
      <c r="E35" s="3" t="s">
        <v>122</v>
      </c>
      <c r="F35" s="3">
        <v>0.73133796543737828</v>
      </c>
      <c r="G35">
        <v>0.43246509711621811</v>
      </c>
      <c r="H35">
        <v>0.2309365770882697</v>
      </c>
      <c r="I35">
        <v>0.1510185942569176</v>
      </c>
      <c r="J35">
        <v>5.0509925771030799E-2</v>
      </c>
      <c r="K35" s="1">
        <v>0.10975320549226326</v>
      </c>
      <c r="N35" s="3">
        <v>53.154415803329599</v>
      </c>
    </row>
    <row r="36" spans="1:14" x14ac:dyDescent="0.3">
      <c r="A36" s="1" t="s">
        <v>263</v>
      </c>
      <c r="B36" s="3" t="s">
        <v>113</v>
      </c>
      <c r="C36" s="3" t="s">
        <v>37</v>
      </c>
      <c r="D36" s="3">
        <v>1</v>
      </c>
      <c r="E36" s="3" t="s">
        <v>130</v>
      </c>
      <c r="F36" s="3">
        <v>0.73671574903969239</v>
      </c>
      <c r="G36">
        <v>0.41913497495241231</v>
      </c>
      <c r="H36">
        <v>0.22137196722306399</v>
      </c>
      <c r="I36">
        <v>0.15118834839982764</v>
      </c>
      <c r="J36">
        <v>4.6574659329520714E-2</v>
      </c>
      <c r="K36" s="1">
        <v>0.11157549045333201</v>
      </c>
      <c r="N36" s="3">
        <v>57.012501140615001</v>
      </c>
    </row>
    <row r="37" spans="1:14" x14ac:dyDescent="0.3">
      <c r="A37" s="1" t="s">
        <v>263</v>
      </c>
      <c r="B37" s="3" t="s">
        <v>113</v>
      </c>
      <c r="C37" s="3" t="s">
        <v>37</v>
      </c>
      <c r="D37" s="3">
        <v>2</v>
      </c>
      <c r="E37" s="3" t="s">
        <v>138</v>
      </c>
      <c r="F37" s="3">
        <v>0.73064237474477811</v>
      </c>
      <c r="G37">
        <v>0.41579718912818153</v>
      </c>
      <c r="H37">
        <v>0.22050144885195039</v>
      </c>
      <c r="I37">
        <v>0.15114381477436814</v>
      </c>
      <c r="J37">
        <v>4.4151925501862956E-2</v>
      </c>
      <c r="K37" s="1">
        <v>0.10909025960644836</v>
      </c>
      <c r="N37" s="3">
        <v>54.853411215355798</v>
      </c>
    </row>
    <row r="38" spans="1:14" s="2" customFormat="1" x14ac:dyDescent="0.3">
      <c r="A38" s="15" t="s">
        <v>263</v>
      </c>
      <c r="B38" s="16" t="s">
        <v>19</v>
      </c>
      <c r="C38" s="16" t="s">
        <v>20</v>
      </c>
      <c r="D38" s="16">
        <v>1</v>
      </c>
      <c r="E38" s="16" t="s">
        <v>25</v>
      </c>
      <c r="F38" s="16">
        <v>0.75827814569536434</v>
      </c>
      <c r="G38">
        <v>0.44208812724728458</v>
      </c>
      <c r="H38" s="2">
        <v>0.24000264976163302</v>
      </c>
      <c r="I38">
        <v>0.15458378270510628</v>
      </c>
      <c r="J38" s="2">
        <v>4.7501694780545292E-2</v>
      </c>
      <c r="K38" s="1">
        <v>0.10879948233008645</v>
      </c>
      <c r="N38" s="16">
        <v>61.958538882620097</v>
      </c>
    </row>
    <row r="39" spans="1:14" x14ac:dyDescent="0.3">
      <c r="A39" s="1" t="s">
        <v>263</v>
      </c>
      <c r="B39" s="3" t="s">
        <v>19</v>
      </c>
      <c r="C39" s="3" t="s">
        <v>20</v>
      </c>
      <c r="D39" s="3">
        <v>2</v>
      </c>
      <c r="E39" s="3" t="s">
        <v>33</v>
      </c>
      <c r="F39" s="3">
        <v>0.74983606557376958</v>
      </c>
      <c r="G39">
        <v>0.41090583374419237</v>
      </c>
      <c r="H39">
        <v>0.22172036239274831</v>
      </c>
      <c r="I39">
        <v>0.14713912587461692</v>
      </c>
      <c r="J39">
        <v>4.2046345476827174E-2</v>
      </c>
      <c r="K39" s="1">
        <v>0.12189647709268361</v>
      </c>
      <c r="N39" s="3">
        <v>58.151728345631</v>
      </c>
    </row>
    <row r="40" spans="1:14" x14ac:dyDescent="0.3">
      <c r="A40" s="1" t="s">
        <v>263</v>
      </c>
      <c r="B40" s="3" t="s">
        <v>19</v>
      </c>
      <c r="C40" s="3" t="s">
        <v>37</v>
      </c>
      <c r="D40" s="3">
        <v>1</v>
      </c>
      <c r="E40" s="3" t="s">
        <v>42</v>
      </c>
      <c r="F40" s="3">
        <v>0.74538475598610754</v>
      </c>
      <c r="G40">
        <v>0.4053734397481914</v>
      </c>
      <c r="H40">
        <v>0.21740144003396239</v>
      </c>
      <c r="I40">
        <v>0.1431351984274131</v>
      </c>
      <c r="J40">
        <v>4.4836801286815858E-2</v>
      </c>
      <c r="K40" s="1">
        <v>0.11240370946131573</v>
      </c>
      <c r="N40" s="3">
        <v>55.591119239953301</v>
      </c>
    </row>
    <row r="41" spans="1:14" x14ac:dyDescent="0.3">
      <c r="A41" s="1" t="s">
        <v>263</v>
      </c>
      <c r="B41" s="3" t="s">
        <v>19</v>
      </c>
      <c r="C41" s="3" t="s">
        <v>37</v>
      </c>
      <c r="D41" s="3">
        <v>2</v>
      </c>
      <c r="E41" s="3" t="s">
        <v>50</v>
      </c>
      <c r="F41" s="3">
        <v>0.748769255200888</v>
      </c>
      <c r="G41">
        <v>0.42479448394195513</v>
      </c>
      <c r="H41">
        <v>0.22862342423224549</v>
      </c>
      <c r="I41">
        <v>0.15238053401018176</v>
      </c>
      <c r="J41">
        <v>4.3790525699527884E-2</v>
      </c>
      <c r="K41" s="1">
        <v>0.10600534794970493</v>
      </c>
      <c r="N41" s="3">
        <v>59.277598395918297</v>
      </c>
    </row>
    <row r="42" spans="1:14" x14ac:dyDescent="0.3">
      <c r="A42" s="8" t="s">
        <v>263</v>
      </c>
      <c r="B42" s="9" t="s">
        <v>68</v>
      </c>
      <c r="C42" s="9" t="s">
        <v>20</v>
      </c>
      <c r="D42" s="9">
        <v>1</v>
      </c>
      <c r="E42" s="9" t="s">
        <v>71</v>
      </c>
      <c r="F42" s="3">
        <v>0.71191406250000033</v>
      </c>
      <c r="G42">
        <v>0.39125783269042685</v>
      </c>
      <c r="H42">
        <v>0.21364947472483606</v>
      </c>
      <c r="I42">
        <v>0.12797240783151004</v>
      </c>
      <c r="J42">
        <v>4.9635950134080786E-2</v>
      </c>
      <c r="K42" s="1">
        <v>0.11988814659692627</v>
      </c>
      <c r="N42" s="9">
        <v>49.639820443462</v>
      </c>
    </row>
    <row r="43" spans="1:14" x14ac:dyDescent="0.3">
      <c r="A43" s="8" t="s">
        <v>263</v>
      </c>
      <c r="B43" s="9" t="s">
        <v>68</v>
      </c>
      <c r="C43" s="9" t="s">
        <v>20</v>
      </c>
      <c r="D43" s="9">
        <v>2</v>
      </c>
      <c r="E43" s="9" t="s">
        <v>79</v>
      </c>
      <c r="F43" s="3">
        <v>0.72173455056179836</v>
      </c>
      <c r="G43">
        <v>0.40171963448921866</v>
      </c>
      <c r="H43">
        <v>0.22172865003730341</v>
      </c>
      <c r="I43">
        <v>0.13445088751261733</v>
      </c>
      <c r="J43">
        <v>4.5540096939297905E-2</v>
      </c>
      <c r="K43" s="1">
        <v>0.1151102859963557</v>
      </c>
      <c r="N43" s="9">
        <v>52.880776872087203</v>
      </c>
    </row>
    <row r="44" spans="1:14" x14ac:dyDescent="0.3">
      <c r="A44" s="8" t="s">
        <v>263</v>
      </c>
      <c r="B44" s="9" t="s">
        <v>68</v>
      </c>
      <c r="C44" s="9" t="s">
        <v>37</v>
      </c>
      <c r="D44" s="9">
        <v>1</v>
      </c>
      <c r="E44" s="9" t="s">
        <v>87</v>
      </c>
      <c r="F44" s="3">
        <v>0.7284852914306591</v>
      </c>
      <c r="G44">
        <v>0.43091476540971274</v>
      </c>
      <c r="H44">
        <v>0.23510452470413093</v>
      </c>
      <c r="I44">
        <v>0.14458944747933727</v>
      </c>
      <c r="J44">
        <v>5.1220793226244565E-2</v>
      </c>
      <c r="K44" s="1">
        <v>0.11105204392403867</v>
      </c>
      <c r="N44" s="9">
        <v>55.793422635431298</v>
      </c>
    </row>
    <row r="45" spans="1:14" x14ac:dyDescent="0.3">
      <c r="A45" s="8" t="s">
        <v>263</v>
      </c>
      <c r="B45" s="9" t="s">
        <v>68</v>
      </c>
      <c r="C45" s="9" t="s">
        <v>37</v>
      </c>
      <c r="D45" s="9">
        <v>2</v>
      </c>
      <c r="E45" s="9" t="s">
        <v>95</v>
      </c>
      <c r="F45" s="3">
        <v>0.72212102813195733</v>
      </c>
      <c r="G45">
        <v>0.38941342848962612</v>
      </c>
      <c r="H45">
        <v>0.209285463877318</v>
      </c>
      <c r="I45">
        <v>0.13159954752490238</v>
      </c>
      <c r="J45">
        <v>4.8528417087405754E-2</v>
      </c>
      <c r="K45" s="1">
        <v>0.11269329046406029</v>
      </c>
      <c r="N45" s="9">
        <v>52.290694351843001</v>
      </c>
    </row>
    <row r="46" spans="1:14" x14ac:dyDescent="0.3">
      <c r="A46" s="1" t="s">
        <v>263</v>
      </c>
      <c r="B46" s="3" t="s">
        <v>113</v>
      </c>
      <c r="C46" s="3" t="s">
        <v>20</v>
      </c>
      <c r="D46" s="3">
        <v>1</v>
      </c>
      <c r="E46" s="3" t="s">
        <v>116</v>
      </c>
      <c r="F46" s="3">
        <v>0.694922937443336</v>
      </c>
      <c r="G46">
        <v>0.40442401859392235</v>
      </c>
      <c r="H46">
        <v>0.22257951335422196</v>
      </c>
      <c r="I46">
        <v>0.13379604959481636</v>
      </c>
      <c r="J46">
        <v>4.8048455644884032E-2</v>
      </c>
      <c r="K46" s="1">
        <v>0.10018094212028641</v>
      </c>
      <c r="N46" s="3">
        <v>46.644394637797603</v>
      </c>
    </row>
    <row r="47" spans="1:14" x14ac:dyDescent="0.3">
      <c r="A47" s="1" t="s">
        <v>263</v>
      </c>
      <c r="B47" s="3" t="s">
        <v>113</v>
      </c>
      <c r="C47" s="3" t="s">
        <v>20</v>
      </c>
      <c r="D47" s="3">
        <v>2</v>
      </c>
      <c r="E47" s="3" t="s">
        <v>124</v>
      </c>
      <c r="F47" s="3">
        <v>0.69583828775267464</v>
      </c>
      <c r="G47">
        <v>0.41129964009609649</v>
      </c>
      <c r="H47">
        <v>0.20816795525793089</v>
      </c>
      <c r="I47">
        <v>0.157464575231056</v>
      </c>
      <c r="J47">
        <v>4.5667109607109603E-2</v>
      </c>
      <c r="K47" s="1">
        <v>0.110328897537831</v>
      </c>
      <c r="N47" s="3">
        <v>46.363676457616698</v>
      </c>
    </row>
    <row r="48" spans="1:14" x14ac:dyDescent="0.3">
      <c r="A48" s="1" t="s">
        <v>263</v>
      </c>
      <c r="B48" s="3" t="s">
        <v>113</v>
      </c>
      <c r="C48" s="3" t="s">
        <v>37</v>
      </c>
      <c r="D48" s="3">
        <v>1</v>
      </c>
      <c r="E48" s="3" t="s">
        <v>132</v>
      </c>
      <c r="F48" s="3">
        <v>0.71335149863760161</v>
      </c>
      <c r="G48">
        <v>0.41436561891263424</v>
      </c>
      <c r="H48">
        <v>0.22952312410218717</v>
      </c>
      <c r="I48">
        <v>0.13689899365058231</v>
      </c>
      <c r="J48">
        <v>4.7943501159864704E-2</v>
      </c>
      <c r="K48" s="1">
        <v>0.11292041144759053</v>
      </c>
      <c r="N48" s="3">
        <v>50.608124879340302</v>
      </c>
    </row>
    <row r="49" spans="1:14" x14ac:dyDescent="0.3">
      <c r="A49" s="1" t="s">
        <v>263</v>
      </c>
      <c r="B49" s="3" t="s">
        <v>113</v>
      </c>
      <c r="C49" s="3" t="s">
        <v>37</v>
      </c>
      <c r="D49" s="3">
        <v>2</v>
      </c>
      <c r="E49" s="3" t="s">
        <v>140</v>
      </c>
      <c r="F49" s="3">
        <v>0.7073454207345421</v>
      </c>
      <c r="G49">
        <v>0.38689277623552315</v>
      </c>
      <c r="H49">
        <v>0.20584614874069998</v>
      </c>
      <c r="I49">
        <v>0.13828849050600761</v>
      </c>
      <c r="J49">
        <v>4.2758136988815511E-2</v>
      </c>
      <c r="K49" s="1">
        <v>0.11779484797665182</v>
      </c>
      <c r="N49" s="3">
        <v>49.0021869874248</v>
      </c>
    </row>
    <row r="50" spans="1:14" s="14" customFormat="1" x14ac:dyDescent="0.3">
      <c r="A50" s="13" t="s">
        <v>263</v>
      </c>
      <c r="B50" s="12" t="s">
        <v>19</v>
      </c>
      <c r="C50" s="12" t="s">
        <v>20</v>
      </c>
      <c r="D50" s="12">
        <v>1</v>
      </c>
      <c r="E50" s="12" t="s">
        <v>27</v>
      </c>
      <c r="F50" s="12">
        <v>0.72499999999999998</v>
      </c>
      <c r="G50" s="14">
        <v>0.46567847077699848</v>
      </c>
      <c r="H50" s="14">
        <v>0.23836183897395713</v>
      </c>
      <c r="I50" s="14">
        <v>0.17286672512031448</v>
      </c>
      <c r="J50" s="14">
        <v>5.444990668272684E-2</v>
      </c>
      <c r="K50" s="1">
        <v>0.14065847095434811</v>
      </c>
      <c r="N50" s="12">
        <v>55.5</v>
      </c>
    </row>
    <row r="51" spans="1:14" s="14" customFormat="1" x14ac:dyDescent="0.3">
      <c r="A51" s="13" t="s">
        <v>263</v>
      </c>
      <c r="B51" s="12" t="s">
        <v>19</v>
      </c>
      <c r="C51" s="12" t="s">
        <v>20</v>
      </c>
      <c r="D51" s="12">
        <v>2</v>
      </c>
      <c r="E51" s="12" t="s">
        <v>35</v>
      </c>
      <c r="F51" s="12">
        <v>0.70940000000000014</v>
      </c>
      <c r="G51" s="14">
        <v>0.40272886364413291</v>
      </c>
      <c r="H51" s="14">
        <v>0.20716967791418045</v>
      </c>
      <c r="I51" s="14">
        <v>0.13209582925047519</v>
      </c>
      <c r="J51" s="14">
        <v>6.3463356479477234E-2</v>
      </c>
      <c r="K51" s="1">
        <v>0.14400780970790733</v>
      </c>
      <c r="N51" s="12">
        <v>48.8</v>
      </c>
    </row>
    <row r="52" spans="1:14" s="14" customFormat="1" x14ac:dyDescent="0.3">
      <c r="A52" s="13" t="s">
        <v>263</v>
      </c>
      <c r="B52" s="12" t="s">
        <v>19</v>
      </c>
      <c r="C52" s="12" t="s">
        <v>37</v>
      </c>
      <c r="D52" s="12">
        <v>1</v>
      </c>
      <c r="E52" s="12" t="s">
        <v>44</v>
      </c>
      <c r="F52" s="12">
        <v>0.72970000000000002</v>
      </c>
      <c r="G52" s="14">
        <v>0.41090156842486719</v>
      </c>
      <c r="H52" s="14">
        <v>0.23684612417755257</v>
      </c>
      <c r="I52" s="14">
        <v>0.11467157988326633</v>
      </c>
      <c r="J52" s="14">
        <v>5.9383864364048307E-2</v>
      </c>
      <c r="K52" s="1">
        <v>0.13398144682779534</v>
      </c>
      <c r="N52" s="12">
        <v>53.5</v>
      </c>
    </row>
    <row r="53" spans="1:14" s="14" customFormat="1" x14ac:dyDescent="0.3">
      <c r="A53" s="13" t="s">
        <v>263</v>
      </c>
      <c r="B53" s="12" t="s">
        <v>19</v>
      </c>
      <c r="C53" s="12" t="s">
        <v>37</v>
      </c>
      <c r="D53" s="12">
        <v>2</v>
      </c>
      <c r="E53" s="12" t="s">
        <v>52</v>
      </c>
      <c r="F53" s="12">
        <v>0.73809999999999998</v>
      </c>
      <c r="G53" s="14">
        <v>0.45889027634101387</v>
      </c>
      <c r="H53" s="14">
        <v>0.24552859132550819</v>
      </c>
      <c r="I53" s="14">
        <v>0.1610988338602852</v>
      </c>
      <c r="J53" s="14">
        <v>5.2262851155220495E-2</v>
      </c>
      <c r="K53" s="1">
        <v>0.13417341697889532</v>
      </c>
      <c r="N53" s="12">
        <v>55.6</v>
      </c>
    </row>
    <row r="54" spans="1:14" x14ac:dyDescent="0.3">
      <c r="A54" s="4" t="s">
        <v>263</v>
      </c>
      <c r="B54" s="5" t="s">
        <v>19</v>
      </c>
      <c r="C54" s="5" t="s">
        <v>54</v>
      </c>
      <c r="D54" s="5">
        <v>1</v>
      </c>
      <c r="E54" s="5" t="s">
        <v>233</v>
      </c>
      <c r="F54" s="3">
        <v>0.72340000000000004</v>
      </c>
      <c r="G54" s="14">
        <v>0.37993030332152922</v>
      </c>
      <c r="H54" s="14">
        <v>0.17867164832800303</v>
      </c>
      <c r="I54" s="14">
        <v>0.10892896696027869</v>
      </c>
      <c r="J54" s="14">
        <v>9.2329688033247481E-2</v>
      </c>
      <c r="K54" s="1">
        <v>0.15011999793281913</v>
      </c>
      <c r="N54" s="5">
        <v>60.1</v>
      </c>
    </row>
    <row r="55" spans="1:14" x14ac:dyDescent="0.3">
      <c r="A55" s="4" t="s">
        <v>263</v>
      </c>
      <c r="B55" s="5" t="s">
        <v>19</v>
      </c>
      <c r="C55" s="5" t="s">
        <v>54</v>
      </c>
      <c r="D55" s="5">
        <v>2</v>
      </c>
      <c r="E55" s="5" t="s">
        <v>235</v>
      </c>
      <c r="F55" s="3">
        <v>0.72589999999999999</v>
      </c>
      <c r="G55" s="14">
        <v>0.41837465824585729</v>
      </c>
      <c r="H55" s="14">
        <v>0.21245700805411211</v>
      </c>
      <c r="I55" s="14">
        <v>0.14926319128748231</v>
      </c>
      <c r="J55" s="14">
        <v>5.6654458904262878E-2</v>
      </c>
      <c r="K55" s="1">
        <v>0.13789562148299556</v>
      </c>
      <c r="N55" s="5">
        <v>60.3</v>
      </c>
    </row>
    <row r="56" spans="1:14" x14ac:dyDescent="0.3">
      <c r="A56" s="4" t="s">
        <v>263</v>
      </c>
      <c r="B56" s="5" t="s">
        <v>19</v>
      </c>
      <c r="C56" s="5" t="s">
        <v>61</v>
      </c>
      <c r="D56" s="5">
        <v>1</v>
      </c>
      <c r="E56" s="5" t="s">
        <v>237</v>
      </c>
      <c r="F56" s="3">
        <v>0.74119999999999997</v>
      </c>
      <c r="G56" s="14">
        <v>0.37609974624787618</v>
      </c>
      <c r="H56" s="14">
        <v>0.1913397820342172</v>
      </c>
      <c r="I56" s="14">
        <v>0.13187599525215457</v>
      </c>
      <c r="J56" s="14">
        <v>5.2883968961504407E-2</v>
      </c>
      <c r="K56" s="1">
        <v>0.13665847705148482</v>
      </c>
      <c r="N56" s="5">
        <v>65.900000000000006</v>
      </c>
    </row>
    <row r="57" spans="1:14" x14ac:dyDescent="0.3">
      <c r="A57" s="4" t="s">
        <v>263</v>
      </c>
      <c r="B57" s="5" t="s">
        <v>19</v>
      </c>
      <c r="C57" s="5" t="s">
        <v>61</v>
      </c>
      <c r="D57" s="5">
        <v>2</v>
      </c>
      <c r="E57" s="5" t="s">
        <v>239</v>
      </c>
      <c r="F57" s="3">
        <v>0.74099999999999999</v>
      </c>
      <c r="G57" s="14">
        <v>0.39038185158070393</v>
      </c>
      <c r="H57" s="14">
        <v>0.20426099994434957</v>
      </c>
      <c r="I57" s="14">
        <v>0.13188761081049885</v>
      </c>
      <c r="J57" s="14">
        <v>5.4233240825855497E-2</v>
      </c>
      <c r="K57" s="1">
        <v>0.14039168756816861</v>
      </c>
      <c r="N57" s="5">
        <v>65</v>
      </c>
    </row>
    <row r="58" spans="1:14" s="14" customFormat="1" x14ac:dyDescent="0.3">
      <c r="A58" s="13" t="s">
        <v>263</v>
      </c>
      <c r="B58" s="12" t="s">
        <v>68</v>
      </c>
      <c r="C58" s="12" t="s">
        <v>20</v>
      </c>
      <c r="D58" s="12">
        <v>1</v>
      </c>
      <c r="E58" s="12" t="s">
        <v>73</v>
      </c>
      <c r="F58" s="12">
        <v>0.66538259499212105</v>
      </c>
      <c r="G58" s="10">
        <v>0.39173991624034438</v>
      </c>
      <c r="H58" s="13">
        <v>0.20250472602195965</v>
      </c>
      <c r="I58" s="13">
        <v>0.13066552123428377</v>
      </c>
      <c r="J58" s="13">
        <v>5.856966898410091E-2</v>
      </c>
      <c r="K58" s="1">
        <v>7.2033094899478997E-2</v>
      </c>
      <c r="N58" s="12">
        <v>44.811135696687202</v>
      </c>
    </row>
    <row r="59" spans="1:14" s="14" customFormat="1" x14ac:dyDescent="0.3">
      <c r="A59" s="13" t="s">
        <v>263</v>
      </c>
      <c r="B59" s="12" t="s">
        <v>68</v>
      </c>
      <c r="C59" s="12" t="s">
        <v>20</v>
      </c>
      <c r="D59" s="12">
        <v>2</v>
      </c>
      <c r="E59" s="12" t="s">
        <v>81</v>
      </c>
      <c r="F59" s="12">
        <v>0.69079386257505127</v>
      </c>
      <c r="G59" s="10">
        <v>0.42478789863857824</v>
      </c>
      <c r="H59" s="13">
        <v>0.21031888714891683</v>
      </c>
      <c r="I59" s="13">
        <v>0.15671546557230506</v>
      </c>
      <c r="J59" s="13">
        <v>5.7753545917356403E-2</v>
      </c>
      <c r="K59" s="1">
        <v>7.6148903131662407E-2</v>
      </c>
      <c r="N59" s="12">
        <v>50.022942476953197</v>
      </c>
    </row>
    <row r="60" spans="1:14" s="14" customFormat="1" x14ac:dyDescent="0.3">
      <c r="A60" s="13" t="s">
        <v>263</v>
      </c>
      <c r="B60" s="12" t="s">
        <v>68</v>
      </c>
      <c r="C60" s="12" t="s">
        <v>37</v>
      </c>
      <c r="D60" s="12">
        <v>1</v>
      </c>
      <c r="E60" s="12" t="s">
        <v>89</v>
      </c>
      <c r="F60" s="12">
        <v>0.70605865981588434</v>
      </c>
      <c r="G60" s="10">
        <v>0.41236347755311797</v>
      </c>
      <c r="H60" s="13">
        <v>0.20629689857292144</v>
      </c>
      <c r="I60" s="13">
        <v>0.14487765015273352</v>
      </c>
      <c r="J60" s="13">
        <v>6.1188928827462984E-2</v>
      </c>
      <c r="K60" s="1">
        <v>0.11659199780954199</v>
      </c>
      <c r="N60" s="12">
        <v>54.401248515059102</v>
      </c>
    </row>
    <row r="61" spans="1:14" s="14" customFormat="1" x14ac:dyDescent="0.3">
      <c r="A61" s="13" t="s">
        <v>263</v>
      </c>
      <c r="B61" s="12" t="s">
        <v>68</v>
      </c>
      <c r="C61" s="12" t="s">
        <v>37</v>
      </c>
      <c r="D61" s="12">
        <v>2</v>
      </c>
      <c r="E61" s="12" t="s">
        <v>97</v>
      </c>
      <c r="F61" s="12">
        <v>0.70213464696223404</v>
      </c>
      <c r="G61" s="10">
        <v>0.4345153931131166</v>
      </c>
      <c r="H61" s="13">
        <v>0.21203635940732762</v>
      </c>
      <c r="I61" s="13">
        <v>0.16838019897182993</v>
      </c>
      <c r="J61" s="13">
        <v>5.4098834733958975E-2</v>
      </c>
      <c r="K61" s="1">
        <v>0.10381508582869939</v>
      </c>
      <c r="N61" s="12">
        <v>52.674825930891302</v>
      </c>
    </row>
    <row r="62" spans="1:14" x14ac:dyDescent="0.3">
      <c r="A62" s="4" t="s">
        <v>263</v>
      </c>
      <c r="B62" s="5" t="s">
        <v>68</v>
      </c>
      <c r="C62" s="5" t="s">
        <v>54</v>
      </c>
      <c r="D62" s="5">
        <v>1</v>
      </c>
      <c r="E62" s="5" t="s">
        <v>101</v>
      </c>
      <c r="F62" s="3">
        <v>0.67872271098077597</v>
      </c>
      <c r="G62" s="10">
        <v>0.41883165030912584</v>
      </c>
      <c r="H62" s="1">
        <v>0.21172128201037829</v>
      </c>
      <c r="I62" s="1">
        <v>0.14572728847883523</v>
      </c>
      <c r="J62" s="1">
        <v>6.1383079819912326E-2</v>
      </c>
      <c r="K62" s="1">
        <v>7.2011554940107039E-2</v>
      </c>
      <c r="N62" s="5">
        <v>55.379618351603703</v>
      </c>
    </row>
    <row r="63" spans="1:14" x14ac:dyDescent="0.3">
      <c r="A63" s="4" t="s">
        <v>263</v>
      </c>
      <c r="B63" s="5" t="s">
        <v>68</v>
      </c>
      <c r="C63" s="5" t="s">
        <v>54</v>
      </c>
      <c r="D63" s="5">
        <v>2</v>
      </c>
      <c r="E63" s="5" t="s">
        <v>105</v>
      </c>
      <c r="F63" s="3">
        <v>0.68341874690031446</v>
      </c>
      <c r="G63" s="10">
        <v>0.43210328989977281</v>
      </c>
      <c r="H63" s="1">
        <v>0.21172215344362358</v>
      </c>
      <c r="I63" s="1">
        <v>0.15986764475992954</v>
      </c>
      <c r="J63" s="1">
        <v>6.0513491696219682E-2</v>
      </c>
      <c r="K63" s="1">
        <v>7.0306826948103765E-2</v>
      </c>
      <c r="N63" s="5">
        <v>57.193914696065697</v>
      </c>
    </row>
    <row r="64" spans="1:14" x14ac:dyDescent="0.3">
      <c r="A64" s="4" t="s">
        <v>263</v>
      </c>
      <c r="B64" s="5" t="s">
        <v>68</v>
      </c>
      <c r="C64" s="5" t="s">
        <v>61</v>
      </c>
      <c r="D64" s="5">
        <v>1</v>
      </c>
      <c r="E64" s="5" t="s">
        <v>107</v>
      </c>
      <c r="F64" s="3">
        <v>0.70871357079776398</v>
      </c>
      <c r="G64" s="10">
        <v>0.43098481096420849</v>
      </c>
      <c r="H64" s="1">
        <v>0.21642919743008796</v>
      </c>
      <c r="I64" s="1">
        <v>0.15702351028820424</v>
      </c>
      <c r="J64" s="1">
        <v>5.753210324591624E-2</v>
      </c>
      <c r="K64" s="1">
        <v>0.11714100961980999</v>
      </c>
      <c r="N64" s="5">
        <v>61.862053266560402</v>
      </c>
    </row>
    <row r="65" spans="1:14" x14ac:dyDescent="0.3">
      <c r="A65" s="4" t="s">
        <v>263</v>
      </c>
      <c r="B65" s="5" t="s">
        <v>68</v>
      </c>
      <c r="C65" s="5" t="s">
        <v>61</v>
      </c>
      <c r="D65" s="5">
        <v>2</v>
      </c>
      <c r="E65" s="5" t="s">
        <v>111</v>
      </c>
      <c r="F65" s="3">
        <v>0.70455544162882644</v>
      </c>
      <c r="G65" s="10">
        <v>0.41317514333961752</v>
      </c>
      <c r="H65" s="1">
        <v>0.20263972508171199</v>
      </c>
      <c r="I65" s="1">
        <v>0.15298465555944871</v>
      </c>
      <c r="J65" s="1">
        <v>5.7550762698456812E-2</v>
      </c>
      <c r="K65" s="1">
        <v>0.111972482786361</v>
      </c>
      <c r="N65" s="5">
        <v>60.331571784584398</v>
      </c>
    </row>
    <row r="66" spans="1:14" s="14" customFormat="1" x14ac:dyDescent="0.3">
      <c r="A66" s="13" t="s">
        <v>263</v>
      </c>
      <c r="B66" s="12" t="s">
        <v>113</v>
      </c>
      <c r="C66" s="12" t="s">
        <v>20</v>
      </c>
      <c r="D66" s="12">
        <v>1</v>
      </c>
      <c r="E66" s="12" t="s">
        <v>118</v>
      </c>
      <c r="F66" s="12">
        <v>0.59902102973169002</v>
      </c>
      <c r="G66" s="10">
        <v>0.40255624903316051</v>
      </c>
      <c r="H66" s="13">
        <v>0.20026276737049487</v>
      </c>
      <c r="I66" s="13">
        <v>0.14447780320581402</v>
      </c>
      <c r="J66" s="13">
        <v>5.781567845685158E-2</v>
      </c>
      <c r="K66" s="1">
        <v>6.1579571924333443E-2</v>
      </c>
      <c r="N66" s="12">
        <v>37.145781704557699</v>
      </c>
    </row>
    <row r="67" spans="1:14" s="14" customFormat="1" x14ac:dyDescent="0.3">
      <c r="A67" s="13" t="s">
        <v>263</v>
      </c>
      <c r="B67" s="12" t="s">
        <v>113</v>
      </c>
      <c r="C67" s="12" t="s">
        <v>20</v>
      </c>
      <c r="D67" s="12">
        <v>2</v>
      </c>
      <c r="E67" s="12" t="s">
        <v>126</v>
      </c>
      <c r="F67" s="12">
        <v>0.58996359854394176</v>
      </c>
      <c r="G67" s="10">
        <v>0.40436907440931524</v>
      </c>
      <c r="H67" s="13">
        <v>0.20991640392832098</v>
      </c>
      <c r="I67" s="13">
        <v>0.13963358135973641</v>
      </c>
      <c r="J67" s="13">
        <v>5.4819089121257915E-2</v>
      </c>
      <c r="K67" s="1">
        <v>5.727477858197931E-2</v>
      </c>
      <c r="N67" s="12">
        <v>38.459515404846002</v>
      </c>
    </row>
    <row r="68" spans="1:14" s="14" customFormat="1" x14ac:dyDescent="0.3">
      <c r="A68" s="13" t="s">
        <v>263</v>
      </c>
      <c r="B68" s="12" t="s">
        <v>113</v>
      </c>
      <c r="C68" s="12" t="s">
        <v>37</v>
      </c>
      <c r="D68" s="12">
        <v>1</v>
      </c>
      <c r="E68" s="12" t="s">
        <v>134</v>
      </c>
      <c r="F68" s="12">
        <v>0.66050895381715347</v>
      </c>
      <c r="G68" s="10">
        <v>0.41830253475800749</v>
      </c>
      <c r="H68" s="13">
        <v>0.2104549228273779</v>
      </c>
      <c r="I68" s="13">
        <v>0.14943816972937196</v>
      </c>
      <c r="J68" s="13">
        <v>5.8409442201257593E-2</v>
      </c>
      <c r="K68" s="1">
        <v>6.000185296362115E-2</v>
      </c>
      <c r="N68" s="12">
        <v>45.348081788962602</v>
      </c>
    </row>
    <row r="69" spans="1:14" s="14" customFormat="1" x14ac:dyDescent="0.3">
      <c r="A69" s="13" t="s">
        <v>263</v>
      </c>
      <c r="B69" s="12" t="s">
        <v>113</v>
      </c>
      <c r="C69" s="12" t="s">
        <v>37</v>
      </c>
      <c r="D69" s="12">
        <v>2</v>
      </c>
      <c r="E69" s="12" t="s">
        <v>142</v>
      </c>
      <c r="F69" s="12">
        <v>0.67368214004720617</v>
      </c>
      <c r="G69" s="10">
        <v>0.42221658480399377</v>
      </c>
      <c r="H69" s="13">
        <v>0.21566533280170427</v>
      </c>
      <c r="I69" s="13">
        <v>0.14761809701370127</v>
      </c>
      <c r="J69" s="13">
        <v>5.8933154988588261E-2</v>
      </c>
      <c r="K69" s="1">
        <v>5.9041573298924031E-2</v>
      </c>
      <c r="N69" s="12">
        <v>46.570423567345699</v>
      </c>
    </row>
    <row r="70" spans="1:14" x14ac:dyDescent="0.3">
      <c r="A70" s="4" t="s">
        <v>263</v>
      </c>
      <c r="B70" s="5" t="s">
        <v>113</v>
      </c>
      <c r="C70" s="5" t="s">
        <v>54</v>
      </c>
      <c r="D70" s="5">
        <v>1</v>
      </c>
      <c r="E70" s="5" t="s">
        <v>146</v>
      </c>
      <c r="F70" s="3">
        <v>0.67598627787307031</v>
      </c>
      <c r="G70" s="10">
        <v>0.39268073418882748</v>
      </c>
      <c r="H70" s="1">
        <v>0.19634053308409799</v>
      </c>
      <c r="I70" s="1">
        <v>0.13998902058076088</v>
      </c>
      <c r="J70" s="1">
        <v>5.6351180523968342E-2</v>
      </c>
      <c r="K70" s="1">
        <v>6.443793774933762E-2</v>
      </c>
      <c r="N70" s="5">
        <v>56.734689905507103</v>
      </c>
    </row>
    <row r="71" spans="1:14" x14ac:dyDescent="0.3">
      <c r="A71" s="4" t="s">
        <v>263</v>
      </c>
      <c r="B71" s="5" t="s">
        <v>113</v>
      </c>
      <c r="C71" s="5" t="s">
        <v>54</v>
      </c>
      <c r="D71" s="5">
        <v>2</v>
      </c>
      <c r="E71" s="5" t="s">
        <v>150</v>
      </c>
      <c r="F71" s="3">
        <v>0.67409579667644082</v>
      </c>
      <c r="G71" s="10">
        <v>0.41243176387749353</v>
      </c>
      <c r="H71" s="1">
        <v>0.20418500165689149</v>
      </c>
      <c r="I71" s="1">
        <v>0.14896658583086717</v>
      </c>
      <c r="J71" s="1">
        <v>5.9280176389734811E-2</v>
      </c>
      <c r="K71" s="1">
        <v>6.1967851244372443E-2</v>
      </c>
      <c r="N71" s="5">
        <v>55.131010250164401</v>
      </c>
    </row>
    <row r="72" spans="1:14" x14ac:dyDescent="0.3">
      <c r="A72" s="4" t="s">
        <v>263</v>
      </c>
      <c r="B72" s="5" t="s">
        <v>113</v>
      </c>
      <c r="C72" s="5" t="s">
        <v>61</v>
      </c>
      <c r="D72" s="5">
        <v>1</v>
      </c>
      <c r="E72" s="5" t="s">
        <v>152</v>
      </c>
      <c r="F72" s="3">
        <v>0.66963109354413686</v>
      </c>
      <c r="G72" s="10">
        <v>0.41074210697992081</v>
      </c>
      <c r="H72" s="1">
        <v>0.19846350726611947</v>
      </c>
      <c r="I72" s="1">
        <v>0.15529186460707067</v>
      </c>
      <c r="J72" s="1">
        <v>5.6986735106730711E-2</v>
      </c>
      <c r="K72" s="1">
        <v>6.4619840598873046E-2</v>
      </c>
      <c r="N72" s="5">
        <v>57.517429524098198</v>
      </c>
    </row>
    <row r="73" spans="1:14" x14ac:dyDescent="0.3">
      <c r="A73" s="4" t="s">
        <v>263</v>
      </c>
      <c r="B73" s="5" t="s">
        <v>113</v>
      </c>
      <c r="C73" s="5" t="s">
        <v>61</v>
      </c>
      <c r="D73" s="5">
        <v>2</v>
      </c>
      <c r="E73" s="5" t="s">
        <v>156</v>
      </c>
      <c r="F73" s="3">
        <v>0.67412312097351423</v>
      </c>
      <c r="G73" s="10">
        <v>0.43449024646945256</v>
      </c>
      <c r="H73" s="1">
        <v>0.20816194643496022</v>
      </c>
      <c r="I73" s="1">
        <v>0.17040204179516236</v>
      </c>
      <c r="J73" s="1">
        <v>5.5926258239329979E-2</v>
      </c>
      <c r="K73" s="1">
        <v>7.1128821438526404E-2</v>
      </c>
      <c r="N73" s="5">
        <v>56.5707285961591</v>
      </c>
    </row>
    <row r="74" spans="1:14" x14ac:dyDescent="0.3">
      <c r="A74" t="s">
        <v>262</v>
      </c>
      <c r="B74" t="s">
        <v>19</v>
      </c>
      <c r="C74" t="s">
        <v>20</v>
      </c>
      <c r="D74">
        <v>1</v>
      </c>
      <c r="E74" t="s">
        <v>23</v>
      </c>
      <c r="F74" s="3">
        <v>0.75317604355716827</v>
      </c>
      <c r="G74" s="10">
        <v>0.32028748683701658</v>
      </c>
      <c r="H74" s="1">
        <v>0.18812355068214573</v>
      </c>
      <c r="I74" s="1">
        <v>9.9940502499583542E-2</v>
      </c>
      <c r="J74" s="1">
        <v>3.2223433655287306E-2</v>
      </c>
      <c r="K74" s="1">
        <v>0.11204908067944021</v>
      </c>
      <c r="N74">
        <v>50.7600184246891</v>
      </c>
    </row>
    <row r="75" spans="1:14" x14ac:dyDescent="0.3">
      <c r="A75" t="s">
        <v>262</v>
      </c>
      <c r="B75" t="s">
        <v>19</v>
      </c>
      <c r="C75" t="s">
        <v>20</v>
      </c>
      <c r="D75">
        <v>2</v>
      </c>
      <c r="E75" t="s">
        <v>31</v>
      </c>
      <c r="F75" s="3">
        <v>0.75229920294298003</v>
      </c>
      <c r="G75" s="10">
        <v>0.31114868413450925</v>
      </c>
      <c r="H75" s="1">
        <v>0.17361254880508198</v>
      </c>
      <c r="I75" s="1">
        <v>0.10581024169290189</v>
      </c>
      <c r="J75" s="1">
        <v>3.1725893636525379E-2</v>
      </c>
      <c r="K75" s="1">
        <v>0.11793190011737703</v>
      </c>
      <c r="N75">
        <v>50.883414273977998</v>
      </c>
    </row>
    <row r="76" spans="1:14" x14ac:dyDescent="0.3">
      <c r="A76" t="s">
        <v>262</v>
      </c>
      <c r="B76" t="s">
        <v>19</v>
      </c>
      <c r="C76" t="s">
        <v>37</v>
      </c>
      <c r="D76">
        <v>1</v>
      </c>
      <c r="E76" t="s">
        <v>40</v>
      </c>
      <c r="F76" s="3">
        <v>0.75163715740965342</v>
      </c>
      <c r="G76" s="10">
        <v>0.36283218564942343</v>
      </c>
      <c r="H76" s="1">
        <v>0.21385429422210603</v>
      </c>
      <c r="I76" s="1">
        <v>0.1144655477627862</v>
      </c>
      <c r="J76" s="1">
        <v>3.4512343664531202E-2</v>
      </c>
      <c r="K76" s="1">
        <v>0.1149246542617981</v>
      </c>
      <c r="N76">
        <v>53.192450103856203</v>
      </c>
    </row>
    <row r="77" spans="1:14" x14ac:dyDescent="0.3">
      <c r="A77" t="s">
        <v>262</v>
      </c>
      <c r="B77" t="s">
        <v>19</v>
      </c>
      <c r="C77" t="s">
        <v>37</v>
      </c>
      <c r="D77">
        <v>2</v>
      </c>
      <c r="E77" t="s">
        <v>48</v>
      </c>
      <c r="F77" s="3">
        <v>0.75023084025854048</v>
      </c>
      <c r="G77" s="10">
        <v>0.36242333442437807</v>
      </c>
      <c r="H77" s="1">
        <v>0.21682216850516117</v>
      </c>
      <c r="I77" s="1">
        <v>0.11126841433223815</v>
      </c>
      <c r="J77" s="1">
        <v>3.4332751586978738E-2</v>
      </c>
      <c r="K77" s="1">
        <v>0.10936763656863883</v>
      </c>
      <c r="N77">
        <v>50.235988542669297</v>
      </c>
    </row>
    <row r="78" spans="1:14" x14ac:dyDescent="0.3">
      <c r="A78" t="s">
        <v>262</v>
      </c>
      <c r="B78" t="s">
        <v>19</v>
      </c>
      <c r="C78" t="s">
        <v>54</v>
      </c>
      <c r="D78">
        <v>1</v>
      </c>
      <c r="E78" t="s">
        <v>55</v>
      </c>
      <c r="F78" s="3">
        <v>0.75987332339791336</v>
      </c>
      <c r="G78" s="10">
        <v>0.34120440945392844</v>
      </c>
      <c r="H78" s="1">
        <v>0.20679632346365331</v>
      </c>
      <c r="I78" s="1">
        <v>9.7619576086682466E-2</v>
      </c>
      <c r="J78" s="1">
        <v>3.678850990359267E-2</v>
      </c>
      <c r="K78" s="1">
        <v>0.11813552984090528</v>
      </c>
      <c r="N78">
        <v>67.699137365686298</v>
      </c>
    </row>
    <row r="79" spans="1:14" x14ac:dyDescent="0.3">
      <c r="A79" t="s">
        <v>262</v>
      </c>
      <c r="B79" t="s">
        <v>19</v>
      </c>
      <c r="C79" t="s">
        <v>54</v>
      </c>
      <c r="D79">
        <v>2</v>
      </c>
      <c r="E79" t="s">
        <v>158</v>
      </c>
      <c r="F79" s="3">
        <v>0.75987332339791336</v>
      </c>
      <c r="G79" s="10">
        <v>0.34120440945392844</v>
      </c>
      <c r="H79" s="1">
        <v>0.20679632346365331</v>
      </c>
      <c r="I79" s="1">
        <v>9.7619576086682466E-2</v>
      </c>
      <c r="J79" s="1">
        <v>3.678850990359267E-2</v>
      </c>
      <c r="K79" s="1">
        <v>0.11813552984090528</v>
      </c>
      <c r="N79">
        <v>67.699137365686298</v>
      </c>
    </row>
    <row r="80" spans="1:14" x14ac:dyDescent="0.3">
      <c r="A80" t="s">
        <v>262</v>
      </c>
      <c r="B80" t="s">
        <v>19</v>
      </c>
      <c r="C80" t="s">
        <v>61</v>
      </c>
      <c r="D80">
        <v>1</v>
      </c>
      <c r="E80" t="s">
        <v>62</v>
      </c>
      <c r="F80" s="3">
        <v>0.75066690378801237</v>
      </c>
      <c r="G80" s="10">
        <v>0.35097849234100453</v>
      </c>
      <c r="H80" s="1">
        <v>0.20386719546426846</v>
      </c>
      <c r="I80" s="1">
        <v>0.10961905136446409</v>
      </c>
      <c r="J80" s="1">
        <v>3.7492245512271948E-2</v>
      </c>
      <c r="K80" s="1">
        <v>0.12172507100916431</v>
      </c>
      <c r="N80">
        <v>65.769928065968799</v>
      </c>
    </row>
    <row r="81" spans="1:14" x14ac:dyDescent="0.3">
      <c r="A81" t="s">
        <v>262</v>
      </c>
      <c r="B81" t="s">
        <v>19</v>
      </c>
      <c r="C81" t="s">
        <v>61</v>
      </c>
      <c r="D81">
        <v>2</v>
      </c>
      <c r="E81" t="s">
        <v>159</v>
      </c>
      <c r="F81" s="3">
        <v>0.75066690378801237</v>
      </c>
      <c r="G81" s="10">
        <v>0.35097849234100453</v>
      </c>
      <c r="H81" s="1">
        <v>0.20386719546426846</v>
      </c>
      <c r="I81" s="1">
        <v>0.10961905136446409</v>
      </c>
      <c r="J81" s="1">
        <v>3.7492245512271948E-2</v>
      </c>
      <c r="K81" s="1">
        <v>0.12172507100916431</v>
      </c>
      <c r="N81">
        <v>65.769928065968799</v>
      </c>
    </row>
    <row r="82" spans="1:14" x14ac:dyDescent="0.3">
      <c r="A82" t="s">
        <v>262</v>
      </c>
      <c r="B82" t="s">
        <v>68</v>
      </c>
      <c r="C82" t="s">
        <v>20</v>
      </c>
      <c r="D82">
        <v>1</v>
      </c>
      <c r="E82" t="s">
        <v>75</v>
      </c>
      <c r="F82" s="3">
        <v>0.75317604355716827</v>
      </c>
      <c r="G82" s="10">
        <v>0.32028748683701658</v>
      </c>
      <c r="H82" s="1">
        <v>0.18812355068214573</v>
      </c>
      <c r="I82" s="1">
        <v>9.9940502499583542E-2</v>
      </c>
      <c r="J82" s="1">
        <v>3.2223433655287306E-2</v>
      </c>
      <c r="K82" s="1">
        <v>0.11204908067944021</v>
      </c>
      <c r="N82">
        <v>50.7600184246891</v>
      </c>
    </row>
    <row r="83" spans="1:14" x14ac:dyDescent="0.3">
      <c r="A83" t="s">
        <v>262</v>
      </c>
      <c r="B83" t="s">
        <v>68</v>
      </c>
      <c r="C83" t="s">
        <v>20</v>
      </c>
      <c r="D83">
        <v>2</v>
      </c>
      <c r="E83" t="s">
        <v>83</v>
      </c>
      <c r="F83" s="3">
        <v>0.75229920294298003</v>
      </c>
      <c r="G83" s="10">
        <v>0.31114868413450925</v>
      </c>
      <c r="H83" s="1">
        <v>0.17361254880508198</v>
      </c>
      <c r="I83" s="1">
        <v>0.10581024169290189</v>
      </c>
      <c r="J83" s="1">
        <v>3.1725893636525379E-2</v>
      </c>
      <c r="K83" s="1">
        <v>0.11793190011737703</v>
      </c>
      <c r="N83">
        <v>50.883414273977998</v>
      </c>
    </row>
    <row r="84" spans="1:14" x14ac:dyDescent="0.3">
      <c r="A84" t="s">
        <v>262</v>
      </c>
      <c r="B84" t="s">
        <v>68</v>
      </c>
      <c r="C84" t="s">
        <v>37</v>
      </c>
      <c r="D84">
        <v>1</v>
      </c>
      <c r="E84" t="s">
        <v>91</v>
      </c>
      <c r="F84" s="3">
        <v>0.75163715740965342</v>
      </c>
      <c r="G84" s="10">
        <v>0.36283218564942343</v>
      </c>
      <c r="H84" s="1">
        <v>0.21385429422210603</v>
      </c>
      <c r="I84" s="1">
        <v>0.1144655477627862</v>
      </c>
      <c r="J84" s="1">
        <v>3.4512343664531202E-2</v>
      </c>
      <c r="K84" s="1">
        <v>0.1149246542617981</v>
      </c>
      <c r="N84">
        <v>53.192450103856203</v>
      </c>
    </row>
    <row r="85" spans="1:14" x14ac:dyDescent="0.3">
      <c r="A85" t="s">
        <v>262</v>
      </c>
      <c r="B85" t="s">
        <v>68</v>
      </c>
      <c r="C85" t="s">
        <v>37</v>
      </c>
      <c r="D85">
        <v>2</v>
      </c>
      <c r="E85" t="s">
        <v>99</v>
      </c>
      <c r="F85" s="3">
        <v>0.75023084025854048</v>
      </c>
      <c r="G85" s="10">
        <v>0.36242333442437807</v>
      </c>
      <c r="H85" s="1">
        <v>0.21682216850516117</v>
      </c>
      <c r="I85" s="1">
        <v>0.11126841433223815</v>
      </c>
      <c r="J85" s="1">
        <v>3.4332751586978738E-2</v>
      </c>
      <c r="K85" s="1">
        <v>0.10936763656863883</v>
      </c>
      <c r="N85">
        <v>50.235988542669297</v>
      </c>
    </row>
    <row r="86" spans="1:14" x14ac:dyDescent="0.3">
      <c r="A86" t="s">
        <v>262</v>
      </c>
      <c r="B86" t="s">
        <v>68</v>
      </c>
      <c r="C86" t="s">
        <v>54</v>
      </c>
      <c r="D86">
        <v>1</v>
      </c>
      <c r="E86" t="s">
        <v>103</v>
      </c>
      <c r="F86" s="3">
        <v>0.75987332339791336</v>
      </c>
      <c r="G86" s="10">
        <v>0.34120440945392844</v>
      </c>
      <c r="H86" s="1">
        <v>0.20679632346365331</v>
      </c>
      <c r="I86" s="1">
        <v>9.7619576086682466E-2</v>
      </c>
      <c r="J86" s="1">
        <v>3.678850990359267E-2</v>
      </c>
      <c r="K86" s="1">
        <v>0.11813552984090528</v>
      </c>
      <c r="N86">
        <v>67.699137365686298</v>
      </c>
    </row>
    <row r="87" spans="1:14" x14ac:dyDescent="0.3">
      <c r="A87" t="s">
        <v>262</v>
      </c>
      <c r="B87" t="s">
        <v>68</v>
      </c>
      <c r="C87" t="s">
        <v>54</v>
      </c>
      <c r="D87">
        <v>2</v>
      </c>
      <c r="E87" t="s">
        <v>162</v>
      </c>
      <c r="F87" s="3">
        <v>0.75987332339791336</v>
      </c>
      <c r="G87" s="10">
        <v>0.34120440945392844</v>
      </c>
      <c r="H87" s="1">
        <v>0.20679632346365331</v>
      </c>
      <c r="I87" s="1">
        <v>9.7619576086682466E-2</v>
      </c>
      <c r="J87" s="1">
        <v>3.678850990359267E-2</v>
      </c>
      <c r="K87" s="1">
        <v>0.11813552984090528</v>
      </c>
      <c r="N87">
        <v>67.699137365686298</v>
      </c>
    </row>
    <row r="88" spans="1:14" x14ac:dyDescent="0.3">
      <c r="A88" t="s">
        <v>262</v>
      </c>
      <c r="B88" t="s">
        <v>68</v>
      </c>
      <c r="C88" t="s">
        <v>61</v>
      </c>
      <c r="D88">
        <v>1</v>
      </c>
      <c r="E88" t="s">
        <v>109</v>
      </c>
      <c r="F88" s="3">
        <v>0.75066690378801237</v>
      </c>
      <c r="G88" s="10">
        <v>0.35097849234100453</v>
      </c>
      <c r="H88" s="1">
        <v>0.20386719546426846</v>
      </c>
      <c r="I88" s="1">
        <v>0.10961905136446409</v>
      </c>
      <c r="J88" s="1">
        <v>3.7492245512271948E-2</v>
      </c>
      <c r="K88" s="1">
        <v>0.12172507100916431</v>
      </c>
      <c r="N88">
        <v>65.769928065968799</v>
      </c>
    </row>
    <row r="89" spans="1:14" x14ac:dyDescent="0.3">
      <c r="A89" t="s">
        <v>262</v>
      </c>
      <c r="B89" t="s">
        <v>68</v>
      </c>
      <c r="C89" t="s">
        <v>61</v>
      </c>
      <c r="D89">
        <v>2</v>
      </c>
      <c r="E89" t="s">
        <v>163</v>
      </c>
      <c r="F89" s="3">
        <v>0.75066690378801237</v>
      </c>
      <c r="G89" s="10">
        <v>0.35097849234100453</v>
      </c>
      <c r="H89" s="1">
        <v>0.20386719546426846</v>
      </c>
      <c r="I89" s="1">
        <v>0.10961905136446409</v>
      </c>
      <c r="J89" s="1">
        <v>3.7492245512271948E-2</v>
      </c>
      <c r="K89" s="1">
        <v>0.12172507100916431</v>
      </c>
      <c r="N89">
        <v>65.769928065968799</v>
      </c>
    </row>
    <row r="90" spans="1:14" x14ac:dyDescent="0.3">
      <c r="A90" s="6" t="s">
        <v>262</v>
      </c>
      <c r="B90" s="6" t="s">
        <v>113</v>
      </c>
      <c r="C90" s="6" t="s">
        <v>20</v>
      </c>
      <c r="D90" s="6">
        <v>1</v>
      </c>
      <c r="E90" s="6" t="s">
        <v>120</v>
      </c>
      <c r="F90" s="3">
        <v>0.75317604355716827</v>
      </c>
      <c r="G90" s="10">
        <v>0.32028748683701658</v>
      </c>
      <c r="H90" s="1">
        <v>0.18812355068214573</v>
      </c>
      <c r="I90" s="1">
        <v>9.9940502499583542E-2</v>
      </c>
      <c r="J90" s="1">
        <v>3.2223433655287306E-2</v>
      </c>
      <c r="K90" s="1">
        <v>0.11204908067944021</v>
      </c>
      <c r="N90" s="6">
        <v>50.7600184246891</v>
      </c>
    </row>
    <row r="91" spans="1:14" x14ac:dyDescent="0.3">
      <c r="A91" s="6" t="s">
        <v>262</v>
      </c>
      <c r="B91" s="6" t="s">
        <v>113</v>
      </c>
      <c r="C91" s="6" t="s">
        <v>20</v>
      </c>
      <c r="D91" s="6">
        <v>2</v>
      </c>
      <c r="E91" s="6" t="s">
        <v>128</v>
      </c>
      <c r="F91" s="3">
        <v>0.75229920294298003</v>
      </c>
      <c r="G91" s="10">
        <v>0.31114868413450925</v>
      </c>
      <c r="H91" s="1">
        <v>0.17361254880508198</v>
      </c>
      <c r="I91" s="1">
        <v>0.10581024169290189</v>
      </c>
      <c r="J91" s="1">
        <v>3.1725893636525379E-2</v>
      </c>
      <c r="K91" s="1">
        <v>0.11793190011737703</v>
      </c>
      <c r="N91" s="6">
        <v>50.883414273977998</v>
      </c>
    </row>
    <row r="92" spans="1:14" x14ac:dyDescent="0.3">
      <c r="A92" s="2" t="s">
        <v>262</v>
      </c>
      <c r="B92" s="2" t="s">
        <v>113</v>
      </c>
      <c r="C92" s="2" t="s">
        <v>37</v>
      </c>
      <c r="D92" s="2">
        <v>1</v>
      </c>
      <c r="E92" s="2" t="s">
        <v>136</v>
      </c>
      <c r="F92" s="16">
        <v>0.75163715740965342</v>
      </c>
      <c r="G92" s="15">
        <v>0.36283218564942343</v>
      </c>
      <c r="H92" s="15">
        <v>0.21385429422210603</v>
      </c>
      <c r="I92" s="15">
        <v>0.1144655477627862</v>
      </c>
      <c r="J92" s="15">
        <v>3.4512343664531202E-2</v>
      </c>
      <c r="K92" s="1">
        <v>0.1149246542617981</v>
      </c>
      <c r="N92" s="6">
        <v>53.192450103856203</v>
      </c>
    </row>
    <row r="93" spans="1:14" x14ac:dyDescent="0.3">
      <c r="A93" s="2" t="s">
        <v>262</v>
      </c>
      <c r="B93" s="2" t="s">
        <v>113</v>
      </c>
      <c r="C93" s="2" t="s">
        <v>37</v>
      </c>
      <c r="D93" s="2">
        <v>2</v>
      </c>
      <c r="E93" s="2" t="s">
        <v>144</v>
      </c>
      <c r="F93" s="16">
        <v>0.75023084025854048</v>
      </c>
      <c r="G93" s="15">
        <v>0.36242333442437807</v>
      </c>
      <c r="H93" s="15">
        <v>0.21682216850516117</v>
      </c>
      <c r="I93" s="15">
        <v>0.11126841433223815</v>
      </c>
      <c r="J93" s="15">
        <v>3.4332751586978738E-2</v>
      </c>
      <c r="K93" s="1">
        <v>0.10936763656863883</v>
      </c>
      <c r="N93" s="6">
        <v>50.235988542669297</v>
      </c>
    </row>
    <row r="94" spans="1:14" x14ac:dyDescent="0.3">
      <c r="A94" t="s">
        <v>262</v>
      </c>
      <c r="B94" t="s">
        <v>113</v>
      </c>
      <c r="C94" t="s">
        <v>54</v>
      </c>
      <c r="D94">
        <v>1</v>
      </c>
      <c r="E94" t="s">
        <v>148</v>
      </c>
      <c r="F94" s="3">
        <v>0.75987332339791336</v>
      </c>
      <c r="G94" s="10">
        <v>0.34120440945392844</v>
      </c>
      <c r="H94" s="1">
        <v>0.20679632346365331</v>
      </c>
      <c r="I94" s="1">
        <v>9.7619576086682466E-2</v>
      </c>
      <c r="J94" s="1">
        <v>3.678850990359267E-2</v>
      </c>
      <c r="K94" s="1">
        <v>0.11813552984090528</v>
      </c>
      <c r="N94">
        <v>67.699137365686298</v>
      </c>
    </row>
    <row r="95" spans="1:14" x14ac:dyDescent="0.3">
      <c r="A95" t="s">
        <v>262</v>
      </c>
      <c r="B95" t="s">
        <v>113</v>
      </c>
      <c r="C95" t="s">
        <v>54</v>
      </c>
      <c r="D95">
        <v>2</v>
      </c>
      <c r="E95" t="s">
        <v>165</v>
      </c>
      <c r="F95" s="3">
        <v>0.75987332339791336</v>
      </c>
      <c r="G95" s="10">
        <v>0.34120440945392844</v>
      </c>
      <c r="H95" s="1">
        <v>0.20679632346365331</v>
      </c>
      <c r="I95" s="1">
        <v>9.7619576086682466E-2</v>
      </c>
      <c r="J95" s="1">
        <v>3.678850990359267E-2</v>
      </c>
      <c r="K95" s="1">
        <v>0.11813552984090528</v>
      </c>
      <c r="N95">
        <v>67.699137365686298</v>
      </c>
    </row>
    <row r="96" spans="1:14" x14ac:dyDescent="0.3">
      <c r="A96" t="s">
        <v>262</v>
      </c>
      <c r="B96" t="s">
        <v>113</v>
      </c>
      <c r="C96" t="s">
        <v>61</v>
      </c>
      <c r="D96">
        <v>1</v>
      </c>
      <c r="E96" t="s">
        <v>154</v>
      </c>
      <c r="F96" s="3">
        <v>0.75066690378801237</v>
      </c>
      <c r="G96" s="10">
        <v>0.35097849234100453</v>
      </c>
      <c r="H96" s="1">
        <v>0.20386719546426846</v>
      </c>
      <c r="I96" s="1">
        <v>0.10961905136446409</v>
      </c>
      <c r="J96" s="1">
        <v>3.7492245512271948E-2</v>
      </c>
      <c r="K96" s="1">
        <v>0.12172507100916431</v>
      </c>
      <c r="N96">
        <v>65.769928065968799</v>
      </c>
    </row>
    <row r="97" spans="1:14" x14ac:dyDescent="0.3">
      <c r="A97" t="s">
        <v>262</v>
      </c>
      <c r="B97" t="s">
        <v>113</v>
      </c>
      <c r="C97" t="s">
        <v>61</v>
      </c>
      <c r="D97">
        <v>2</v>
      </c>
      <c r="E97" t="s">
        <v>166</v>
      </c>
      <c r="F97" s="3">
        <v>0.75066690378801237</v>
      </c>
      <c r="G97" s="10">
        <v>0.35097849234100453</v>
      </c>
      <c r="H97" s="1">
        <v>0.20386719546426846</v>
      </c>
      <c r="I97" s="1">
        <v>0.10961905136446409</v>
      </c>
      <c r="J97" s="1">
        <v>3.7492245512271948E-2</v>
      </c>
      <c r="K97" s="1">
        <v>0.12172507100916431</v>
      </c>
      <c r="N97">
        <v>65.769928065968799</v>
      </c>
    </row>
    <row r="98" spans="1:14" x14ac:dyDescent="0.3">
      <c r="A98" t="s">
        <v>262</v>
      </c>
      <c r="B98" t="s">
        <v>19</v>
      </c>
      <c r="C98" t="s">
        <v>20</v>
      </c>
      <c r="D98">
        <v>1</v>
      </c>
      <c r="E98" t="s">
        <v>21</v>
      </c>
      <c r="F98" s="3">
        <v>0.73912097476066196</v>
      </c>
      <c r="G98" s="10">
        <v>0</v>
      </c>
      <c r="H98" s="1">
        <v>0</v>
      </c>
      <c r="I98" s="1">
        <v>0</v>
      </c>
      <c r="J98" s="1">
        <v>0</v>
      </c>
      <c r="K98" s="1">
        <v>0</v>
      </c>
      <c r="N98">
        <v>53.303024679903501</v>
      </c>
    </row>
    <row r="99" spans="1:14" x14ac:dyDescent="0.3">
      <c r="A99" t="s">
        <v>262</v>
      </c>
      <c r="B99" t="s">
        <v>19</v>
      </c>
      <c r="C99" t="s">
        <v>20</v>
      </c>
      <c r="D99">
        <v>2</v>
      </c>
      <c r="E99" t="s">
        <v>29</v>
      </c>
      <c r="F99" s="3">
        <v>0.74176931690929526</v>
      </c>
      <c r="G99" s="10">
        <v>0</v>
      </c>
      <c r="H99" s="1">
        <v>0</v>
      </c>
      <c r="I99" s="1">
        <v>0</v>
      </c>
      <c r="J99" s="1">
        <v>0</v>
      </c>
      <c r="K99" s="1">
        <v>0</v>
      </c>
      <c r="N99">
        <v>53.169953319996203</v>
      </c>
    </row>
    <row r="100" spans="1:14" x14ac:dyDescent="0.3">
      <c r="A100" t="s">
        <v>262</v>
      </c>
      <c r="B100" t="s">
        <v>19</v>
      </c>
      <c r="C100" t="s">
        <v>37</v>
      </c>
      <c r="D100">
        <v>1</v>
      </c>
      <c r="E100" t="s">
        <v>38</v>
      </c>
      <c r="F100" s="3">
        <v>0.73666586940923184</v>
      </c>
      <c r="G100" s="10">
        <v>0</v>
      </c>
      <c r="H100" s="1">
        <v>0</v>
      </c>
      <c r="I100" s="1">
        <v>0</v>
      </c>
      <c r="J100" s="1">
        <v>0</v>
      </c>
      <c r="K100" s="1">
        <v>0</v>
      </c>
      <c r="N100">
        <v>52.703895121643797</v>
      </c>
    </row>
    <row r="101" spans="1:14" x14ac:dyDescent="0.3">
      <c r="A101" t="s">
        <v>262</v>
      </c>
      <c r="B101" t="s">
        <v>19</v>
      </c>
      <c r="C101" t="s">
        <v>37</v>
      </c>
      <c r="D101">
        <v>2</v>
      </c>
      <c r="E101" t="s">
        <v>46</v>
      </c>
      <c r="F101" s="3">
        <v>0.74254495788754948</v>
      </c>
      <c r="G101" s="10">
        <v>0</v>
      </c>
      <c r="H101" s="1">
        <v>0</v>
      </c>
      <c r="I101" s="1">
        <v>0</v>
      </c>
      <c r="J101" s="1">
        <v>0</v>
      </c>
      <c r="K101" s="1">
        <v>0</v>
      </c>
      <c r="N101">
        <v>54.268737106079101</v>
      </c>
    </row>
    <row r="102" spans="1:14" x14ac:dyDescent="0.3">
      <c r="A102" t="s">
        <v>262</v>
      </c>
      <c r="B102" t="s">
        <v>68</v>
      </c>
      <c r="C102" t="s">
        <v>20</v>
      </c>
      <c r="D102">
        <v>1</v>
      </c>
      <c r="E102" t="s">
        <v>69</v>
      </c>
      <c r="F102" s="3">
        <v>0.72655367231638401</v>
      </c>
      <c r="G102" s="10">
        <v>0</v>
      </c>
      <c r="H102" s="1">
        <v>0</v>
      </c>
      <c r="I102" s="1">
        <v>0</v>
      </c>
      <c r="J102" s="1">
        <v>0</v>
      </c>
      <c r="K102" s="1">
        <v>0</v>
      </c>
      <c r="N102">
        <v>50.351607837782502</v>
      </c>
    </row>
    <row r="103" spans="1:14" x14ac:dyDescent="0.3">
      <c r="A103" t="s">
        <v>262</v>
      </c>
      <c r="B103" t="s">
        <v>68</v>
      </c>
      <c r="C103" t="s">
        <v>20</v>
      </c>
      <c r="D103">
        <v>2</v>
      </c>
      <c r="E103" t="s">
        <v>77</v>
      </c>
      <c r="F103" s="3">
        <v>0.72918736340155055</v>
      </c>
      <c r="G103" s="10">
        <v>0</v>
      </c>
      <c r="H103" s="1">
        <v>0</v>
      </c>
      <c r="I103" s="1">
        <v>0</v>
      </c>
      <c r="J103" s="1">
        <v>0</v>
      </c>
      <c r="K103" s="1">
        <v>0</v>
      </c>
      <c r="N103">
        <v>53.151269378617002</v>
      </c>
    </row>
    <row r="104" spans="1:14" x14ac:dyDescent="0.3">
      <c r="A104" t="s">
        <v>262</v>
      </c>
      <c r="B104" t="s">
        <v>68</v>
      </c>
      <c r="C104" t="s">
        <v>37</v>
      </c>
      <c r="D104">
        <v>1</v>
      </c>
      <c r="E104" t="s">
        <v>85</v>
      </c>
      <c r="F104" s="3">
        <v>0.73166485310119744</v>
      </c>
      <c r="G104" s="10">
        <v>0</v>
      </c>
      <c r="H104" s="1">
        <v>0</v>
      </c>
      <c r="I104" s="1">
        <v>0</v>
      </c>
      <c r="J104" s="1">
        <v>0</v>
      </c>
      <c r="K104" s="1">
        <v>0</v>
      </c>
      <c r="N104">
        <v>52.272339457368702</v>
      </c>
    </row>
    <row r="105" spans="1:14" x14ac:dyDescent="0.3">
      <c r="A105" t="s">
        <v>262</v>
      </c>
      <c r="B105" t="s">
        <v>68</v>
      </c>
      <c r="C105" t="s">
        <v>37</v>
      </c>
      <c r="D105">
        <v>2</v>
      </c>
      <c r="E105" t="s">
        <v>93</v>
      </c>
      <c r="F105" s="3">
        <v>0.73257434944237965</v>
      </c>
      <c r="G105" s="10">
        <v>0</v>
      </c>
      <c r="H105" s="1">
        <v>0</v>
      </c>
      <c r="I105" s="1">
        <v>0</v>
      </c>
      <c r="J105" s="1">
        <v>0</v>
      </c>
      <c r="K105" s="1">
        <v>0</v>
      </c>
      <c r="N105">
        <v>52.4558196221816</v>
      </c>
    </row>
    <row r="106" spans="1:14" x14ac:dyDescent="0.3">
      <c r="A106" t="s">
        <v>262</v>
      </c>
      <c r="B106" t="s">
        <v>113</v>
      </c>
      <c r="C106" t="s">
        <v>20</v>
      </c>
      <c r="D106">
        <v>1</v>
      </c>
      <c r="E106" t="s">
        <v>114</v>
      </c>
      <c r="F106" s="3">
        <v>0.71778530173272292</v>
      </c>
      <c r="G106" s="10">
        <v>0</v>
      </c>
      <c r="H106" s="1">
        <v>0</v>
      </c>
      <c r="I106" s="1">
        <v>0</v>
      </c>
      <c r="J106" s="1">
        <v>0</v>
      </c>
      <c r="K106" s="1">
        <v>0</v>
      </c>
      <c r="N106">
        <v>50.166355270914302</v>
      </c>
    </row>
    <row r="107" spans="1:14" x14ac:dyDescent="0.3">
      <c r="A107" t="s">
        <v>262</v>
      </c>
      <c r="B107" t="s">
        <v>113</v>
      </c>
      <c r="C107" t="s">
        <v>20</v>
      </c>
      <c r="D107">
        <v>2</v>
      </c>
      <c r="E107" t="s">
        <v>122</v>
      </c>
      <c r="F107" s="3">
        <v>0.72511265874641506</v>
      </c>
      <c r="G107" s="10">
        <v>0</v>
      </c>
      <c r="H107" s="1">
        <v>0</v>
      </c>
      <c r="I107" s="1">
        <v>0</v>
      </c>
      <c r="J107" s="1">
        <v>0</v>
      </c>
      <c r="K107" s="1">
        <v>0</v>
      </c>
      <c r="N107">
        <v>51.1188130215805</v>
      </c>
    </row>
    <row r="108" spans="1:14" x14ac:dyDescent="0.3">
      <c r="A108" t="s">
        <v>262</v>
      </c>
      <c r="B108" t="s">
        <v>113</v>
      </c>
      <c r="C108" t="s">
        <v>37</v>
      </c>
      <c r="D108">
        <v>1</v>
      </c>
      <c r="E108" t="s">
        <v>130</v>
      </c>
      <c r="F108" s="3">
        <v>0.72093608454957059</v>
      </c>
      <c r="G108" s="10">
        <v>0</v>
      </c>
      <c r="H108" s="1">
        <v>0</v>
      </c>
      <c r="I108" s="1">
        <v>0</v>
      </c>
      <c r="J108" s="1">
        <v>0</v>
      </c>
      <c r="K108" s="1">
        <v>0</v>
      </c>
      <c r="N108">
        <v>47.222948404116302</v>
      </c>
    </row>
    <row r="109" spans="1:14" x14ac:dyDescent="0.3">
      <c r="A109" t="s">
        <v>262</v>
      </c>
      <c r="B109" t="s">
        <v>113</v>
      </c>
      <c r="C109" t="s">
        <v>37</v>
      </c>
      <c r="D109">
        <v>2</v>
      </c>
      <c r="E109" t="s">
        <v>138</v>
      </c>
      <c r="F109" s="3">
        <v>0.71341463414634132</v>
      </c>
      <c r="G109" s="10">
        <v>0</v>
      </c>
      <c r="H109" s="1">
        <v>0</v>
      </c>
      <c r="I109" s="1">
        <v>0</v>
      </c>
      <c r="J109" s="1">
        <v>0</v>
      </c>
      <c r="K109" s="1">
        <v>0</v>
      </c>
      <c r="N109">
        <v>48.697201395590497</v>
      </c>
    </row>
    <row r="110" spans="1:14" x14ac:dyDescent="0.3">
      <c r="A110" s="6" t="s">
        <v>262</v>
      </c>
      <c r="B110" s="6" t="s">
        <v>19</v>
      </c>
      <c r="C110" s="6" t="s">
        <v>20</v>
      </c>
      <c r="D110" s="6">
        <v>1</v>
      </c>
      <c r="E110" s="6" t="s">
        <v>25</v>
      </c>
      <c r="F110" s="3">
        <v>0.73666365280289436</v>
      </c>
      <c r="G110" s="10">
        <v>0.35092053274504353</v>
      </c>
      <c r="H110" s="1">
        <v>0.21051443601752981</v>
      </c>
      <c r="I110" s="1">
        <v>0.10220629989238036</v>
      </c>
      <c r="J110" s="1">
        <v>3.8199796835133339E-2</v>
      </c>
      <c r="K110" s="1">
        <v>0.11611041507463117</v>
      </c>
      <c r="N110" s="6">
        <v>49.332054684538001</v>
      </c>
    </row>
    <row r="111" spans="1:14" x14ac:dyDescent="0.3">
      <c r="A111" s="6" t="s">
        <v>262</v>
      </c>
      <c r="B111" s="6" t="s">
        <v>19</v>
      </c>
      <c r="C111" s="6" t="s">
        <v>20</v>
      </c>
      <c r="D111" s="6">
        <v>2</v>
      </c>
      <c r="E111" s="6" t="s">
        <v>33</v>
      </c>
      <c r="F111" s="3">
        <v>0.73446206600942932</v>
      </c>
      <c r="G111" s="10">
        <v>0.33846305021234296</v>
      </c>
      <c r="H111" s="1">
        <v>0.20141580858273656</v>
      </c>
      <c r="I111" s="1">
        <v>0.10166348568132506</v>
      </c>
      <c r="J111" s="1">
        <v>3.5383755948281345E-2</v>
      </c>
      <c r="K111" s="1">
        <v>0.11763234146497724</v>
      </c>
      <c r="N111" s="6">
        <v>48.711229890697297</v>
      </c>
    </row>
    <row r="112" spans="1:14" x14ac:dyDescent="0.3">
      <c r="A112" s="2" t="s">
        <v>262</v>
      </c>
      <c r="B112" s="2" t="s">
        <v>19</v>
      </c>
      <c r="C112" s="2" t="s">
        <v>37</v>
      </c>
      <c r="D112" s="2">
        <v>1</v>
      </c>
      <c r="E112" s="2" t="s">
        <v>42</v>
      </c>
      <c r="F112" s="16">
        <v>0.72333103922918063</v>
      </c>
      <c r="G112" s="15">
        <v>0.30286517662357337</v>
      </c>
      <c r="H112" s="15">
        <v>0.18065956913259146</v>
      </c>
      <c r="I112" s="15">
        <v>8.8240995736431224E-2</v>
      </c>
      <c r="J112" s="15">
        <v>3.3964611754550671E-2</v>
      </c>
      <c r="K112" s="1">
        <v>0.11648002402234661</v>
      </c>
      <c r="N112" s="6">
        <v>47.256642924513002</v>
      </c>
    </row>
    <row r="113" spans="1:14" x14ac:dyDescent="0.3">
      <c r="A113" s="2" t="s">
        <v>262</v>
      </c>
      <c r="B113" s="2" t="s">
        <v>19</v>
      </c>
      <c r="C113" s="2" t="s">
        <v>37</v>
      </c>
      <c r="D113" s="2">
        <v>2</v>
      </c>
      <c r="E113" s="2" t="s">
        <v>50</v>
      </c>
      <c r="F113" s="16">
        <v>0.73009446693657243</v>
      </c>
      <c r="G113" s="15">
        <v>0.30286517662357337</v>
      </c>
      <c r="H113" s="15">
        <v>0.18065956913259146</v>
      </c>
      <c r="I113" s="15">
        <v>8.8240995736431224E-2</v>
      </c>
      <c r="J113" s="15">
        <v>3.3964611754550671E-2</v>
      </c>
      <c r="K113" s="1">
        <v>0.12161933322456976</v>
      </c>
      <c r="N113" s="6">
        <v>48.9485852691842</v>
      </c>
    </row>
    <row r="114" spans="1:14" x14ac:dyDescent="0.3">
      <c r="A114" t="s">
        <v>262</v>
      </c>
      <c r="B114" t="s">
        <v>68</v>
      </c>
      <c r="C114" t="s">
        <v>20</v>
      </c>
      <c r="D114">
        <v>1</v>
      </c>
      <c r="E114" t="s">
        <v>71</v>
      </c>
      <c r="F114" s="3">
        <v>0.72368421052631549</v>
      </c>
      <c r="G114" s="10">
        <v>0.30490898283207407</v>
      </c>
      <c r="H114" s="1">
        <v>0.17744722707855451</v>
      </c>
      <c r="I114" s="1">
        <v>8.9719107845385115E-2</v>
      </c>
      <c r="J114" s="1">
        <v>3.7742647908134384E-2</v>
      </c>
      <c r="K114" s="1">
        <v>0.13073814987328561</v>
      </c>
      <c r="N114">
        <v>46.446578208186899</v>
      </c>
    </row>
    <row r="115" spans="1:14" x14ac:dyDescent="0.3">
      <c r="A115" t="s">
        <v>262</v>
      </c>
      <c r="B115" t="s">
        <v>68</v>
      </c>
      <c r="C115" t="s">
        <v>20</v>
      </c>
      <c r="D115">
        <v>2</v>
      </c>
      <c r="E115" t="s">
        <v>79</v>
      </c>
      <c r="F115" s="3">
        <v>0.72271662763465949</v>
      </c>
      <c r="G115" s="10">
        <v>0.322626488443993</v>
      </c>
      <c r="H115" s="1">
        <v>0.19340302293965189</v>
      </c>
      <c r="I115" s="1">
        <v>8.8796246423977598E-2</v>
      </c>
      <c r="J115" s="1">
        <v>4.0427219080363494E-2</v>
      </c>
      <c r="K115" s="1">
        <v>0.12516386335007518</v>
      </c>
      <c r="N115">
        <v>46.367683787599098</v>
      </c>
    </row>
    <row r="116" spans="1:14" x14ac:dyDescent="0.3">
      <c r="A116" t="s">
        <v>262</v>
      </c>
      <c r="B116" t="s">
        <v>68</v>
      </c>
      <c r="C116" t="s">
        <v>37</v>
      </c>
      <c r="D116">
        <v>1</v>
      </c>
      <c r="E116" t="s">
        <v>87</v>
      </c>
      <c r="F116" s="3">
        <v>0.71380952380952423</v>
      </c>
      <c r="G116" s="10">
        <v>0.33140579924783042</v>
      </c>
      <c r="H116" s="1">
        <v>0.19876457350605747</v>
      </c>
      <c r="I116" s="1">
        <v>9.0925215018824584E-2</v>
      </c>
      <c r="J116" s="1">
        <v>4.171601072294831E-2</v>
      </c>
      <c r="K116" s="1">
        <v>0.11631847920197992</v>
      </c>
      <c r="N116">
        <v>45.006911775737002</v>
      </c>
    </row>
    <row r="117" spans="1:14" x14ac:dyDescent="0.3">
      <c r="A117" t="s">
        <v>262</v>
      </c>
      <c r="B117" t="s">
        <v>68</v>
      </c>
      <c r="C117" t="s">
        <v>37</v>
      </c>
      <c r="D117">
        <v>2</v>
      </c>
      <c r="E117" t="s">
        <v>95</v>
      </c>
      <c r="F117" s="3">
        <v>0.71511335012594546</v>
      </c>
      <c r="G117" s="10">
        <v>0.32272534986377593</v>
      </c>
      <c r="H117" s="1">
        <v>0.19134858786224476</v>
      </c>
      <c r="I117" s="1">
        <v>8.9855203116530058E-2</v>
      </c>
      <c r="J117" s="1">
        <v>4.1521558885001135E-2</v>
      </c>
      <c r="K117" s="1">
        <v>0.1144697043248503</v>
      </c>
      <c r="N117">
        <v>45.007765823574097</v>
      </c>
    </row>
    <row r="118" spans="1:14" x14ac:dyDescent="0.3">
      <c r="A118" t="s">
        <v>262</v>
      </c>
      <c r="B118" t="s">
        <v>113</v>
      </c>
      <c r="C118" t="s">
        <v>20</v>
      </c>
      <c r="D118">
        <v>1</v>
      </c>
      <c r="E118" t="s">
        <v>116</v>
      </c>
      <c r="F118" s="3">
        <v>0.71109337589784594</v>
      </c>
      <c r="G118" s="10">
        <v>0.29083319316792994</v>
      </c>
      <c r="H118" s="1">
        <v>0.17298207534308832</v>
      </c>
      <c r="I118" s="1">
        <v>7.5937729568287454E-2</v>
      </c>
      <c r="J118" s="1">
        <v>4.1913388256554163E-2</v>
      </c>
      <c r="K118" s="1">
        <v>0.12407844739182823</v>
      </c>
      <c r="N118">
        <v>43.8920155998225</v>
      </c>
    </row>
    <row r="119" spans="1:14" x14ac:dyDescent="0.3">
      <c r="A119" t="s">
        <v>262</v>
      </c>
      <c r="B119" t="s">
        <v>113</v>
      </c>
      <c r="C119" t="s">
        <v>20</v>
      </c>
      <c r="D119">
        <v>2</v>
      </c>
      <c r="E119" t="s">
        <v>124</v>
      </c>
      <c r="F119" s="3">
        <v>0.71293375394321923</v>
      </c>
      <c r="G119" s="10">
        <v>0.32509886943461869</v>
      </c>
      <c r="H119" s="1">
        <v>0.19187967679691434</v>
      </c>
      <c r="I119" s="1">
        <v>9.1966542877258778E-2</v>
      </c>
      <c r="J119" s="1">
        <v>4.1252649760445535E-2</v>
      </c>
      <c r="K119" s="1">
        <v>0.12993322511856217</v>
      </c>
      <c r="N119">
        <v>45.042119151527402</v>
      </c>
    </row>
    <row r="120" spans="1:14" x14ac:dyDescent="0.3">
      <c r="A120" t="s">
        <v>262</v>
      </c>
      <c r="B120" t="s">
        <v>113</v>
      </c>
      <c r="C120" t="s">
        <v>37</v>
      </c>
      <c r="D120">
        <v>1</v>
      </c>
      <c r="E120" t="s">
        <v>132</v>
      </c>
      <c r="F120" s="3">
        <v>0.70882669537136755</v>
      </c>
      <c r="G120" s="10">
        <v>0.30620912886678281</v>
      </c>
      <c r="H120" s="1">
        <v>0.18070703400231217</v>
      </c>
      <c r="I120" s="1">
        <v>8.5451814323662167E-2</v>
      </c>
      <c r="J120" s="1">
        <v>4.0050280540808517E-2</v>
      </c>
      <c r="K120" s="1">
        <v>0.12175772294495409</v>
      </c>
      <c r="N120">
        <v>44.167112378914801</v>
      </c>
    </row>
    <row r="121" spans="1:14" x14ac:dyDescent="0.3">
      <c r="A121" t="s">
        <v>262</v>
      </c>
      <c r="B121" t="s">
        <v>113</v>
      </c>
      <c r="C121" t="s">
        <v>37</v>
      </c>
      <c r="D121">
        <v>2</v>
      </c>
      <c r="E121" t="s">
        <v>140</v>
      </c>
      <c r="F121" s="3">
        <v>0.70876356897008053</v>
      </c>
      <c r="G121" s="10">
        <v>0.29813727393838907</v>
      </c>
      <c r="H121" s="1">
        <v>0.17765382485326439</v>
      </c>
      <c r="I121" s="1">
        <v>8.0443772136211178E-2</v>
      </c>
      <c r="J121" s="1">
        <v>4.0039676948913513E-2</v>
      </c>
      <c r="K121" s="1">
        <v>0.12580768454109378</v>
      </c>
      <c r="N121">
        <v>44.688176623007898</v>
      </c>
    </row>
    <row r="122" spans="1:14" x14ac:dyDescent="0.3">
      <c r="A122" t="s">
        <v>262</v>
      </c>
      <c r="B122" t="s">
        <v>19</v>
      </c>
      <c r="C122" t="s">
        <v>20</v>
      </c>
      <c r="D122">
        <v>1</v>
      </c>
      <c r="E122" t="s">
        <v>27</v>
      </c>
      <c r="F122" s="3">
        <v>0.73271889400921575</v>
      </c>
      <c r="G122" s="10">
        <v>0.29941822654533723</v>
      </c>
      <c r="H122" s="1">
        <v>0.17362981702239735</v>
      </c>
      <c r="I122" s="1">
        <v>8.2520130502526323E-2</v>
      </c>
      <c r="J122" s="1">
        <v>4.3268279020413553E-2</v>
      </c>
      <c r="K122" s="1">
        <v>0.13311496573049175</v>
      </c>
      <c r="N122">
        <v>49.997695958711603</v>
      </c>
    </row>
    <row r="123" spans="1:14" x14ac:dyDescent="0.3">
      <c r="A123" t="s">
        <v>262</v>
      </c>
      <c r="B123" t="s">
        <v>19</v>
      </c>
      <c r="C123" t="s">
        <v>20</v>
      </c>
      <c r="D123">
        <v>2</v>
      </c>
      <c r="E123" t="s">
        <v>35</v>
      </c>
      <c r="F123" s="3">
        <v>0.7276021080368914</v>
      </c>
      <c r="G123" s="10">
        <v>0.29988885564968365</v>
      </c>
      <c r="H123" s="1">
        <v>0.17719959560496332</v>
      </c>
      <c r="I123" s="1">
        <v>8.0414302918367056E-2</v>
      </c>
      <c r="J123" s="1">
        <v>4.2274957126353235E-2</v>
      </c>
      <c r="K123" s="1">
        <v>0.12963534168407945</v>
      </c>
      <c r="N123">
        <v>48.175946936638098</v>
      </c>
    </row>
    <row r="124" spans="1:14" x14ac:dyDescent="0.3">
      <c r="A124" t="s">
        <v>262</v>
      </c>
      <c r="B124" t="s">
        <v>19</v>
      </c>
      <c r="C124" t="s">
        <v>37</v>
      </c>
      <c r="D124">
        <v>1</v>
      </c>
      <c r="E124" t="s">
        <v>44</v>
      </c>
      <c r="F124" s="3">
        <v>0.72615476904619247</v>
      </c>
      <c r="G124" s="10">
        <v>0.28707252349452739</v>
      </c>
      <c r="H124" s="1">
        <v>0.16347965281808793</v>
      </c>
      <c r="I124" s="1">
        <v>7.7261192317649025E-2</v>
      </c>
      <c r="J124" s="1">
        <v>4.6331678358790422E-2</v>
      </c>
      <c r="K124" s="1">
        <v>0.13061857922662706</v>
      </c>
      <c r="N124">
        <v>48.182672158392897</v>
      </c>
    </row>
    <row r="125" spans="1:14" x14ac:dyDescent="0.3">
      <c r="A125" t="s">
        <v>262</v>
      </c>
      <c r="B125" t="s">
        <v>19</v>
      </c>
      <c r="C125" t="s">
        <v>37</v>
      </c>
      <c r="D125">
        <v>2</v>
      </c>
      <c r="E125" t="s">
        <v>52</v>
      </c>
      <c r="F125" s="3">
        <v>0.72187592757494701</v>
      </c>
      <c r="G125" s="10">
        <v>0.28464720445505692</v>
      </c>
      <c r="H125" s="1">
        <v>0.17014319758972765</v>
      </c>
      <c r="I125" s="1">
        <v>6.9744311270912296E-2</v>
      </c>
      <c r="J125" s="1">
        <v>4.475969559441699E-2</v>
      </c>
      <c r="K125" s="1">
        <v>0.14104492372331781</v>
      </c>
      <c r="N125">
        <v>48.438578329882702</v>
      </c>
    </row>
    <row r="126" spans="1:14" x14ac:dyDescent="0.3">
      <c r="A126" t="s">
        <v>262</v>
      </c>
      <c r="B126" t="s">
        <v>19</v>
      </c>
      <c r="C126" t="s">
        <v>54</v>
      </c>
      <c r="D126">
        <v>1</v>
      </c>
      <c r="E126" t="s">
        <v>57</v>
      </c>
      <c r="F126" s="3">
        <v>0.75609295295673462</v>
      </c>
      <c r="G126" s="10">
        <v>0.33382428494536576</v>
      </c>
      <c r="H126" s="1">
        <v>0.1900710174443617</v>
      </c>
      <c r="I126" s="1">
        <v>9.711003616601166E-2</v>
      </c>
      <c r="J126" s="1">
        <v>4.6643231334992354E-2</v>
      </c>
      <c r="K126" s="1">
        <v>0.12966065422307743</v>
      </c>
      <c r="N126">
        <v>69.801790871566297</v>
      </c>
    </row>
    <row r="127" spans="1:14" x14ac:dyDescent="0.3">
      <c r="A127" t="s">
        <v>262</v>
      </c>
      <c r="B127" t="s">
        <v>19</v>
      </c>
      <c r="C127" t="s">
        <v>54</v>
      </c>
      <c r="D127">
        <v>2</v>
      </c>
      <c r="E127" t="s">
        <v>59</v>
      </c>
      <c r="F127" s="3">
        <v>0.75247324853624076</v>
      </c>
      <c r="G127" s="10">
        <v>0.30875043143205477</v>
      </c>
      <c r="H127" s="1">
        <v>0.17866621464703766</v>
      </c>
      <c r="I127" s="1">
        <v>8.5566640645332509E-2</v>
      </c>
      <c r="J127" s="1">
        <v>4.4517576139684586E-2</v>
      </c>
      <c r="K127" s="1">
        <v>0.12858616083165944</v>
      </c>
      <c r="N127">
        <v>68.721990204376098</v>
      </c>
    </row>
    <row r="128" spans="1:14" x14ac:dyDescent="0.3">
      <c r="A128" t="s">
        <v>262</v>
      </c>
      <c r="B128" t="s">
        <v>19</v>
      </c>
      <c r="C128" t="s">
        <v>61</v>
      </c>
      <c r="D128">
        <v>1</v>
      </c>
      <c r="E128" t="s">
        <v>64</v>
      </c>
      <c r="F128" s="3">
        <v>0.74666370106761526</v>
      </c>
      <c r="G128" s="10">
        <v>0.30334090071029485</v>
      </c>
      <c r="H128" s="1">
        <v>0.17681726446781343</v>
      </c>
      <c r="I128" s="1">
        <v>8.3812145282538983E-2</v>
      </c>
      <c r="J128" s="1">
        <v>4.2711490959942373E-2</v>
      </c>
      <c r="K128" s="1">
        <v>0.12706777819665754</v>
      </c>
      <c r="N128">
        <v>66.673587116100407</v>
      </c>
    </row>
    <row r="129" spans="1:14" x14ac:dyDescent="0.3">
      <c r="A129" t="s">
        <v>262</v>
      </c>
      <c r="B129" t="s">
        <v>19</v>
      </c>
      <c r="C129" t="s">
        <v>61</v>
      </c>
      <c r="D129">
        <v>2</v>
      </c>
      <c r="E129" t="s">
        <v>66</v>
      </c>
      <c r="F129" s="3">
        <v>0.75462478184991211</v>
      </c>
      <c r="G129" s="10">
        <v>0.32407789253529012</v>
      </c>
      <c r="H129" s="1">
        <v>0.1854026195526258</v>
      </c>
      <c r="I129" s="1">
        <v>9.7196826793782012E-2</v>
      </c>
      <c r="J129" s="1">
        <v>4.1478446188882301E-2</v>
      </c>
      <c r="K129" s="1">
        <v>0.12036918573741867</v>
      </c>
      <c r="N129">
        <v>70.644803353470607</v>
      </c>
    </row>
    <row r="130" spans="1:14" x14ac:dyDescent="0.3">
      <c r="A130" t="s">
        <v>262</v>
      </c>
      <c r="B130" t="s">
        <v>68</v>
      </c>
      <c r="C130" t="s">
        <v>20</v>
      </c>
      <c r="D130">
        <v>1</v>
      </c>
      <c r="E130" t="s">
        <v>73</v>
      </c>
      <c r="F130" s="3">
        <v>0.68726207906295667</v>
      </c>
      <c r="G130" s="10">
        <v>0.32269584525444212</v>
      </c>
      <c r="H130" s="1">
        <v>0.18448286196802738</v>
      </c>
      <c r="I130" s="1">
        <v>8.4468763995060397E-2</v>
      </c>
      <c r="J130" s="1">
        <v>5.3744219291354346E-2</v>
      </c>
      <c r="K130" s="1">
        <v>0.13159876413037111</v>
      </c>
      <c r="N130">
        <v>43.910404772926</v>
      </c>
    </row>
    <row r="131" spans="1:14" x14ac:dyDescent="0.3">
      <c r="A131" t="s">
        <v>262</v>
      </c>
      <c r="B131" t="s">
        <v>68</v>
      </c>
      <c r="C131" t="s">
        <v>20</v>
      </c>
      <c r="D131">
        <v>2</v>
      </c>
      <c r="E131" t="s">
        <v>81</v>
      </c>
      <c r="F131" s="3">
        <v>0.68878268203542437</v>
      </c>
      <c r="G131" s="10">
        <v>0.32581750991957875</v>
      </c>
      <c r="H131" s="1">
        <v>0.18629742665758162</v>
      </c>
      <c r="I131" s="1">
        <v>8.7008680618959736E-2</v>
      </c>
      <c r="J131" s="1">
        <v>5.2511402643037358E-2</v>
      </c>
      <c r="K131" s="1">
        <v>0.12882145271827491</v>
      </c>
      <c r="N131">
        <v>44.690982648791902</v>
      </c>
    </row>
    <row r="132" spans="1:14" x14ac:dyDescent="0.3">
      <c r="A132" t="s">
        <v>262</v>
      </c>
      <c r="B132" t="s">
        <v>68</v>
      </c>
      <c r="C132" t="s">
        <v>37</v>
      </c>
      <c r="D132">
        <v>1</v>
      </c>
      <c r="E132" t="s">
        <v>89</v>
      </c>
      <c r="F132" s="3">
        <v>0.70097442143727251</v>
      </c>
      <c r="G132" s="10">
        <v>0.24445989670619001</v>
      </c>
      <c r="H132" s="1">
        <v>0.13983703947754608</v>
      </c>
      <c r="I132" s="1">
        <v>6.3950141596663748E-2</v>
      </c>
      <c r="J132" s="1">
        <v>4.0672715631980147E-2</v>
      </c>
      <c r="K132" s="1">
        <v>0.13571273640172635</v>
      </c>
      <c r="N132">
        <v>43.579807845426998</v>
      </c>
    </row>
    <row r="133" spans="1:14" x14ac:dyDescent="0.3">
      <c r="A133" t="s">
        <v>262</v>
      </c>
      <c r="B133" t="s">
        <v>68</v>
      </c>
      <c r="C133" t="s">
        <v>37</v>
      </c>
      <c r="D133">
        <v>2</v>
      </c>
      <c r="E133" t="s">
        <v>97</v>
      </c>
      <c r="F133" s="3">
        <v>0.68393015685113934</v>
      </c>
      <c r="G133" s="10">
        <v>0.30201770487536078</v>
      </c>
      <c r="H133" s="1">
        <v>0.1875195763633172</v>
      </c>
      <c r="I133" s="1">
        <v>6.7805009033915953E-2</v>
      </c>
      <c r="J133" s="1">
        <v>4.6693119478127661E-2</v>
      </c>
      <c r="K133" s="1">
        <v>0.13615207035947124</v>
      </c>
      <c r="N133">
        <v>42.721859077288798</v>
      </c>
    </row>
    <row r="134" spans="1:14" x14ac:dyDescent="0.3">
      <c r="A134" t="s">
        <v>262</v>
      </c>
      <c r="B134" t="s">
        <v>68</v>
      </c>
      <c r="C134" t="s">
        <v>54</v>
      </c>
      <c r="D134">
        <v>1</v>
      </c>
      <c r="E134" t="s">
        <v>101</v>
      </c>
      <c r="F134" s="3">
        <v>0.7498157700810606</v>
      </c>
      <c r="G134" s="10">
        <v>0.24066720789682405</v>
      </c>
      <c r="H134" s="1">
        <v>0.13959328312647951</v>
      </c>
      <c r="I134" s="1">
        <v>5.493418803064045E-2</v>
      </c>
      <c r="J134" s="1">
        <v>4.613973673970409E-2</v>
      </c>
      <c r="K134" s="1">
        <v>0.13900781330920584</v>
      </c>
      <c r="N134">
        <v>63.902427538791201</v>
      </c>
    </row>
    <row r="135" spans="1:14" x14ac:dyDescent="0.3">
      <c r="A135" t="s">
        <v>262</v>
      </c>
      <c r="B135" t="s">
        <v>68</v>
      </c>
      <c r="C135" t="s">
        <v>54</v>
      </c>
      <c r="D135">
        <v>2</v>
      </c>
      <c r="E135" t="s">
        <v>105</v>
      </c>
      <c r="F135" s="3">
        <v>0.71630677587490676</v>
      </c>
      <c r="G135" s="10">
        <v>0.34085679541365921</v>
      </c>
      <c r="H135" s="1">
        <v>0.19058689796757833</v>
      </c>
      <c r="I135" s="1">
        <v>9.1892050081313625E-2</v>
      </c>
      <c r="J135" s="1">
        <v>5.8377847364767275E-2</v>
      </c>
      <c r="K135" s="1">
        <v>0.13915326604925191</v>
      </c>
      <c r="N135">
        <v>62.665256478053898</v>
      </c>
    </row>
    <row r="136" spans="1:14" x14ac:dyDescent="0.3">
      <c r="A136" t="s">
        <v>262</v>
      </c>
      <c r="B136" t="s">
        <v>68</v>
      </c>
      <c r="C136" t="s">
        <v>61</v>
      </c>
      <c r="D136">
        <v>1</v>
      </c>
      <c r="E136" t="s">
        <v>107</v>
      </c>
      <c r="F136" s="3">
        <v>0.72434367541766098</v>
      </c>
      <c r="G136" s="10">
        <v>0.30133117740671039</v>
      </c>
      <c r="H136" s="1">
        <v>0.16954419039374291</v>
      </c>
      <c r="I136" s="1">
        <v>8.1631722404623977E-2</v>
      </c>
      <c r="J136" s="1">
        <v>5.0155264608343478E-2</v>
      </c>
      <c r="K136" s="1">
        <v>0.13305521664688161</v>
      </c>
      <c r="N136">
        <v>64.923494092581805</v>
      </c>
    </row>
    <row r="137" spans="1:14" x14ac:dyDescent="0.3">
      <c r="A137" t="s">
        <v>262</v>
      </c>
      <c r="B137" t="s">
        <v>68</v>
      </c>
      <c r="C137" t="s">
        <v>61</v>
      </c>
      <c r="D137">
        <v>2</v>
      </c>
      <c r="E137" t="s">
        <v>111</v>
      </c>
      <c r="F137" s="3">
        <v>0.72719836400817917</v>
      </c>
      <c r="G137" s="10">
        <v>0.29880640207738451</v>
      </c>
      <c r="H137" s="1">
        <v>0.17064939342991889</v>
      </c>
      <c r="I137" s="1">
        <v>7.862766161756303E-2</v>
      </c>
      <c r="J137" s="1">
        <v>4.9529347029902589E-2</v>
      </c>
      <c r="K137" s="1">
        <v>0.13638320626787656</v>
      </c>
      <c r="N137">
        <v>61.977971837412397</v>
      </c>
    </row>
    <row r="138" spans="1:14" x14ac:dyDescent="0.3">
      <c r="A138" t="s">
        <v>262</v>
      </c>
      <c r="B138" t="s">
        <v>113</v>
      </c>
      <c r="C138" t="s">
        <v>20</v>
      </c>
      <c r="D138">
        <v>1</v>
      </c>
      <c r="E138" t="s">
        <v>118</v>
      </c>
      <c r="F138" s="3">
        <v>0.70866141732283505</v>
      </c>
      <c r="G138" s="10">
        <v>0.29260890106453463</v>
      </c>
      <c r="H138" s="1">
        <v>0.16262477721592089</v>
      </c>
      <c r="I138" s="1">
        <v>7.5272897408577691E-2</v>
      </c>
      <c r="J138" s="1">
        <v>5.4711226440036058E-2</v>
      </c>
      <c r="K138" s="1">
        <v>0.14561005113549474</v>
      </c>
      <c r="N138">
        <v>48.624313476975097</v>
      </c>
    </row>
    <row r="139" spans="1:14" x14ac:dyDescent="0.3">
      <c r="A139" t="s">
        <v>262</v>
      </c>
      <c r="B139" t="s">
        <v>113</v>
      </c>
      <c r="C139" t="s">
        <v>20</v>
      </c>
      <c r="D139">
        <v>2</v>
      </c>
      <c r="E139" t="s">
        <v>126</v>
      </c>
      <c r="F139" s="3">
        <v>0.70388601036269338</v>
      </c>
      <c r="G139" s="10">
        <v>0.32756366513850194</v>
      </c>
      <c r="H139" s="1">
        <v>0.17622910956418217</v>
      </c>
      <c r="I139" s="1">
        <v>0.10000839794740202</v>
      </c>
      <c r="J139" s="1">
        <v>5.1326157626917744E-2</v>
      </c>
      <c r="K139" s="1">
        <v>0.14239527934189319</v>
      </c>
      <c r="N139">
        <v>47.917571845323103</v>
      </c>
    </row>
    <row r="140" spans="1:14" x14ac:dyDescent="0.3">
      <c r="A140" t="s">
        <v>262</v>
      </c>
      <c r="B140" t="s">
        <v>113</v>
      </c>
      <c r="C140" t="s">
        <v>37</v>
      </c>
      <c r="D140">
        <v>1</v>
      </c>
      <c r="E140" t="s">
        <v>134</v>
      </c>
      <c r="F140" s="3">
        <v>0.69901053303542926</v>
      </c>
      <c r="G140" s="10">
        <v>0.30926888185250728</v>
      </c>
      <c r="H140" s="1">
        <v>0.18577831889384747</v>
      </c>
      <c r="I140" s="1">
        <v>7.129557013849934E-2</v>
      </c>
      <c r="J140" s="1">
        <v>5.2194992820160463E-2</v>
      </c>
      <c r="K140" s="1">
        <v>0.13294464198323383</v>
      </c>
      <c r="N140">
        <v>43.847004324521002</v>
      </c>
    </row>
    <row r="141" spans="1:14" x14ac:dyDescent="0.3">
      <c r="A141" t="s">
        <v>262</v>
      </c>
      <c r="B141" t="s">
        <v>113</v>
      </c>
      <c r="C141" t="s">
        <v>37</v>
      </c>
      <c r="D141">
        <v>2</v>
      </c>
      <c r="E141" t="s">
        <v>142</v>
      </c>
      <c r="F141" s="3">
        <v>0.69025330396475704</v>
      </c>
      <c r="G141" s="10">
        <v>0.31589332585912983</v>
      </c>
      <c r="H141" s="1">
        <v>0.1786723666364296</v>
      </c>
      <c r="I141" s="1">
        <v>8.3702740689714478E-2</v>
      </c>
      <c r="J141" s="1">
        <v>5.3518218532985752E-2</v>
      </c>
      <c r="K141" s="1">
        <v>0.12192169223852527</v>
      </c>
      <c r="N141">
        <v>43.957639939485603</v>
      </c>
    </row>
    <row r="142" spans="1:14" x14ac:dyDescent="0.3">
      <c r="A142" t="s">
        <v>262</v>
      </c>
      <c r="B142" t="s">
        <v>113</v>
      </c>
      <c r="C142" t="s">
        <v>54</v>
      </c>
      <c r="D142">
        <v>1</v>
      </c>
      <c r="E142" t="s">
        <v>146</v>
      </c>
      <c r="F142" s="3">
        <v>0.73082411701748085</v>
      </c>
      <c r="G142" s="10">
        <v>0.347625089796197</v>
      </c>
      <c r="H142" s="1">
        <v>0.10661053651269767</v>
      </c>
      <c r="I142" s="1">
        <v>0.13530479061788192</v>
      </c>
      <c r="J142" s="1">
        <v>0.10570976266561738</v>
      </c>
      <c r="K142" s="1">
        <v>0.14483833755702383</v>
      </c>
      <c r="N142">
        <v>70.592975961114703</v>
      </c>
    </row>
    <row r="143" spans="1:14" x14ac:dyDescent="0.3">
      <c r="A143" t="s">
        <v>262</v>
      </c>
      <c r="B143" t="s">
        <v>113</v>
      </c>
      <c r="C143" t="s">
        <v>54</v>
      </c>
      <c r="D143">
        <v>2</v>
      </c>
      <c r="E143" t="s">
        <v>150</v>
      </c>
      <c r="F143" s="3">
        <v>0.73387096774193472</v>
      </c>
      <c r="G143" s="10">
        <v>0.3554980670296729</v>
      </c>
      <c r="H143" s="1">
        <v>0.11410648914095428</v>
      </c>
      <c r="I143" s="1">
        <v>0.1308365367358213</v>
      </c>
      <c r="J143" s="1">
        <v>0.11055504115289728</v>
      </c>
      <c r="K143" s="1">
        <v>0.14852339025339806</v>
      </c>
      <c r="N143">
        <v>68.280267247497605</v>
      </c>
    </row>
    <row r="144" spans="1:14" x14ac:dyDescent="0.3">
      <c r="A144" t="s">
        <v>262</v>
      </c>
      <c r="B144" t="s">
        <v>113</v>
      </c>
      <c r="C144" t="s">
        <v>61</v>
      </c>
      <c r="D144">
        <v>1</v>
      </c>
      <c r="E144" t="s">
        <v>152</v>
      </c>
      <c r="F144" s="3">
        <v>0.7265398925175689</v>
      </c>
      <c r="G144" s="10">
        <v>0.31846379693307703</v>
      </c>
      <c r="H144" s="1">
        <v>0.17825989953468055</v>
      </c>
      <c r="I144" s="1">
        <v>8.6212594859908717E-2</v>
      </c>
      <c r="J144" s="1">
        <v>5.3991302538487745E-2</v>
      </c>
      <c r="K144" s="1">
        <v>0.1268919859472756</v>
      </c>
      <c r="N144">
        <v>69.260722670789704</v>
      </c>
    </row>
    <row r="145" spans="1:14" x14ac:dyDescent="0.3">
      <c r="A145" t="s">
        <v>262</v>
      </c>
      <c r="B145" t="s">
        <v>113</v>
      </c>
      <c r="C145" t="s">
        <v>61</v>
      </c>
      <c r="D145">
        <v>2</v>
      </c>
      <c r="E145" t="s">
        <v>156</v>
      </c>
      <c r="F145" s="3">
        <v>0.72359686179843064</v>
      </c>
      <c r="G145" s="10">
        <v>0.40554966583939639</v>
      </c>
      <c r="H145" s="1">
        <v>0.13619632777218654</v>
      </c>
      <c r="I145" s="1">
        <v>0.16652784167290291</v>
      </c>
      <c r="J145" s="1">
        <v>0.10282549639430696</v>
      </c>
      <c r="K145" s="1">
        <v>0.11725347399796864</v>
      </c>
      <c r="N145">
        <v>66.741853627099502</v>
      </c>
    </row>
  </sheetData>
  <sortState xmlns:xlrd2="http://schemas.microsoft.com/office/spreadsheetml/2017/richdata2" ref="A2:K145">
    <sortCondition ref="A22:A145"/>
  </sortState>
  <conditionalFormatting sqref="K1:K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93D9-D814-422B-B7CD-C46E3A7FA6BE}">
  <dimension ref="A1:Q13"/>
  <sheetViews>
    <sheetView zoomScaleNormal="100" workbookViewId="0">
      <selection sqref="A1:XFD1"/>
    </sheetView>
  </sheetViews>
  <sheetFormatPr defaultRowHeight="14.4" x14ac:dyDescent="0.3"/>
  <cols>
    <col min="2" max="2" width="18.77734375" customWidth="1"/>
    <col min="7" max="7" width="8.88671875" style="1"/>
  </cols>
  <sheetData>
    <row r="1" spans="1:17" x14ac:dyDescent="0.3">
      <c r="A1" t="s">
        <v>1</v>
      </c>
      <c r="B1" t="s">
        <v>2</v>
      </c>
      <c r="C1" t="s">
        <v>5</v>
      </c>
      <c r="D1" t="s">
        <v>6</v>
      </c>
      <c r="E1" s="1" t="s">
        <v>8</v>
      </c>
      <c r="F1" t="s">
        <v>260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s="1" customFormat="1" x14ac:dyDescent="0.3">
      <c r="A2" s="1" t="s">
        <v>294</v>
      </c>
      <c r="B2" s="1">
        <v>1</v>
      </c>
      <c r="C2" s="1">
        <v>63.4</v>
      </c>
      <c r="D2">
        <v>48.85307908721478</v>
      </c>
      <c r="E2" s="1">
        <v>3.8352380952380951</v>
      </c>
      <c r="F2" s="1">
        <v>5.523319863288906</v>
      </c>
      <c r="G2" s="1">
        <v>10.550511050317565</v>
      </c>
      <c r="H2" s="1">
        <v>8.64</v>
      </c>
      <c r="I2" s="1">
        <v>5.3369126000000007</v>
      </c>
      <c r="J2" s="1">
        <v>3.5046007000000001</v>
      </c>
      <c r="K2" s="1">
        <v>0.94217060000000008</v>
      </c>
      <c r="L2" s="1">
        <v>0.5697085999999999</v>
      </c>
      <c r="M2">
        <v>28.05738852915691</v>
      </c>
      <c r="N2">
        <v>14.696383322208515</v>
      </c>
      <c r="O2">
        <v>10.696473063050691</v>
      </c>
      <c r="P2">
        <v>2.6645321438977043</v>
      </c>
      <c r="Q2">
        <v>7.0311861489493097</v>
      </c>
    </row>
    <row r="3" spans="1:17" s="1" customFormat="1" x14ac:dyDescent="0.3">
      <c r="A3" s="1" t="s">
        <v>294</v>
      </c>
      <c r="B3" s="1">
        <v>2</v>
      </c>
      <c r="C3" s="1">
        <v>67.2</v>
      </c>
      <c r="D3">
        <v>51.901116902457197</v>
      </c>
      <c r="E3" s="1">
        <v>3.676605316973415</v>
      </c>
      <c r="F3" s="1">
        <v>5.1636223757480444</v>
      </c>
      <c r="G3" s="1">
        <v>9.2938566173414277</v>
      </c>
      <c r="H3" s="1">
        <v>8.51</v>
      </c>
      <c r="I3" s="1">
        <v>5.7946133</v>
      </c>
      <c r="J3" s="1">
        <v>3.9305212000000003</v>
      </c>
      <c r="K3" s="1">
        <v>0.99038530000000002</v>
      </c>
      <c r="L3" s="1">
        <v>0.59438950000000002</v>
      </c>
      <c r="M3">
        <v>32.379985750512745</v>
      </c>
      <c r="N3">
        <v>16.794204083900794</v>
      </c>
      <c r="O3">
        <v>12.396431739718844</v>
      </c>
      <c r="P3">
        <v>3.1893499268931063</v>
      </c>
      <c r="Q3">
        <v>8.4876337375396496</v>
      </c>
    </row>
    <row r="4" spans="1:17" s="1" customFormat="1" x14ac:dyDescent="0.3">
      <c r="A4" s="1" t="s">
        <v>296</v>
      </c>
      <c r="B4" s="1">
        <v>1</v>
      </c>
      <c r="C4" s="1">
        <v>67</v>
      </c>
      <c r="D4">
        <v>52.132700000000007</v>
      </c>
      <c r="E4" s="1">
        <v>3.6547670961347869</v>
      </c>
      <c r="F4" s="1">
        <v>5.1801885834393868</v>
      </c>
      <c r="G4" s="1">
        <v>9.5338842956537437</v>
      </c>
      <c r="H4" s="1">
        <v>8.59</v>
      </c>
      <c r="I4" s="1">
        <v>5.0885243000000004</v>
      </c>
      <c r="J4" s="1">
        <v>3.5539512999999996</v>
      </c>
      <c r="K4" s="1">
        <v>0.87628200000000001</v>
      </c>
      <c r="L4" s="1">
        <v>0.59864030000000001</v>
      </c>
      <c r="M4">
        <v>33.071354621855704</v>
      </c>
      <c r="N4">
        <v>17.381327966908778</v>
      </c>
      <c r="O4">
        <v>12.961871984971536</v>
      </c>
      <c r="P4">
        <v>2.728154669975392</v>
      </c>
      <c r="Q4">
        <v>7.6506129417083697</v>
      </c>
    </row>
    <row r="5" spans="1:17" s="1" customFormat="1" x14ac:dyDescent="0.3">
      <c r="A5" s="1" t="s">
        <v>296</v>
      </c>
      <c r="B5" s="1">
        <v>2</v>
      </c>
      <c r="C5" s="1">
        <v>61.9</v>
      </c>
      <c r="D5">
        <v>47.30398000000001</v>
      </c>
      <c r="E5" s="1">
        <v>3.8160869565217395</v>
      </c>
      <c r="F5" s="1">
        <v>5.3411578300245157</v>
      </c>
      <c r="G5" s="1">
        <v>9.5316929593923483</v>
      </c>
      <c r="H5" s="1">
        <v>8.6199999999999992</v>
      </c>
      <c r="I5" s="1">
        <v>5.1904127000000004</v>
      </c>
      <c r="J5" s="1">
        <v>3.4399598999999998</v>
      </c>
      <c r="K5" s="1">
        <v>0.84399429999999998</v>
      </c>
      <c r="L5" s="1">
        <v>0.55140880000000003</v>
      </c>
      <c r="M5">
        <v>27.089739207048673</v>
      </c>
      <c r="N5">
        <v>14.317672496613591</v>
      </c>
      <c r="O5">
        <v>10.42008367406449</v>
      </c>
      <c r="P5">
        <v>2.3519830363705956</v>
      </c>
      <c r="Q5">
        <v>7.7513748796278712</v>
      </c>
    </row>
    <row r="6" spans="1:17" s="1" customFormat="1" x14ac:dyDescent="0.3">
      <c r="A6" s="1" t="s">
        <v>297</v>
      </c>
      <c r="B6" s="1">
        <v>1</v>
      </c>
      <c r="C6" s="1">
        <v>50.7600184246891</v>
      </c>
      <c r="D6">
        <v>38.231229847996303</v>
      </c>
      <c r="E6" s="1">
        <v>2.8</v>
      </c>
      <c r="F6" s="1">
        <v>4.3589138967668797</v>
      </c>
      <c r="G6" s="1">
        <v>9.7432118547929694</v>
      </c>
      <c r="H6" s="1">
        <v>7.63</v>
      </c>
      <c r="I6" s="1">
        <v>7.0630252999999996</v>
      </c>
      <c r="J6" s="1">
        <v>3.9584961000000001</v>
      </c>
      <c r="K6" s="1">
        <v>1.1904813000000001</v>
      </c>
      <c r="L6" s="1">
        <v>1.4092515999999999</v>
      </c>
      <c r="M6">
        <v>19.302971355598071</v>
      </c>
      <c r="N6">
        <v>11.494051594187194</v>
      </c>
      <c r="O6">
        <v>5.9682303979723095</v>
      </c>
      <c r="P6">
        <v>1.8406893634385653</v>
      </c>
      <c r="Q6">
        <v>5.6876133997578613</v>
      </c>
    </row>
    <row r="7" spans="1:17" s="1" customFormat="1" x14ac:dyDescent="0.3">
      <c r="A7" s="1" t="s">
        <v>297</v>
      </c>
      <c r="B7" s="1">
        <v>2</v>
      </c>
      <c r="C7" s="1">
        <v>50.883414273977998</v>
      </c>
      <c r="D7">
        <v>38.279552001331098</v>
      </c>
      <c r="E7" s="1">
        <v>2.75</v>
      </c>
      <c r="F7" s="1">
        <v>4.3106013271782997</v>
      </c>
      <c r="G7" s="1">
        <v>9.7537582948644008</v>
      </c>
      <c r="H7" s="1">
        <v>7.66</v>
      </c>
      <c r="I7" s="1">
        <v>7.1702861999999996</v>
      </c>
      <c r="J7" s="1">
        <v>4.0507643</v>
      </c>
      <c r="K7" s="1">
        <v>1.2184716</v>
      </c>
      <c r="L7" s="1">
        <v>1.4249772000000001</v>
      </c>
      <c r="M7">
        <v>18.209732900107085</v>
      </c>
      <c r="N7">
        <v>11.010893692104425</v>
      </c>
      <c r="O7">
        <v>5.4692062475450323</v>
      </c>
      <c r="P7">
        <v>1.7296329604576266</v>
      </c>
      <c r="Q7">
        <v>6.000777729789891</v>
      </c>
    </row>
    <row r="8" spans="1:17" s="1" customFormat="1" x14ac:dyDescent="0.3">
      <c r="A8" s="1" t="s">
        <v>295</v>
      </c>
      <c r="B8" s="1">
        <v>1</v>
      </c>
      <c r="C8" s="1">
        <v>53.192450103856203</v>
      </c>
      <c r="D8">
        <v>39.981421991717305</v>
      </c>
      <c r="E8" s="1">
        <v>2.2999999999999998</v>
      </c>
      <c r="F8" s="1">
        <v>4.3752143892916902</v>
      </c>
      <c r="G8" s="1">
        <v>12.970089933073099</v>
      </c>
      <c r="H8" s="1">
        <v>7.61</v>
      </c>
      <c r="I8" s="1">
        <v>8.3351585000000004</v>
      </c>
      <c r="J8" s="1">
        <v>4.7032018999999998</v>
      </c>
      <c r="K8" s="1">
        <v>1.2491827</v>
      </c>
      <c r="L8" s="1">
        <v>1.6430943</v>
      </c>
      <c r="M8">
        <v>19.139124235070948</v>
      </c>
      <c r="N8">
        <v>11.123030419109323</v>
      </c>
      <c r="O8">
        <v>6.1739375156876379</v>
      </c>
      <c r="P8">
        <v>1.8421563002739865</v>
      </c>
      <c r="Q8">
        <v>6.1131239375236204</v>
      </c>
    </row>
    <row r="9" spans="1:17" s="1" customFormat="1" x14ac:dyDescent="0.3">
      <c r="A9" s="1" t="s">
        <v>295</v>
      </c>
      <c r="B9" s="1">
        <v>2</v>
      </c>
      <c r="C9" s="1">
        <v>50.235988542669297</v>
      </c>
      <c r="D9">
        <v>37.688587895585194</v>
      </c>
      <c r="E9" s="1">
        <v>2.7</v>
      </c>
      <c r="F9" s="1">
        <v>4.3555462414578603</v>
      </c>
      <c r="G9" s="1">
        <v>10.3471640091116</v>
      </c>
      <c r="H9" s="1">
        <v>7.73</v>
      </c>
      <c r="I9" s="1">
        <v>7.4787248000000002</v>
      </c>
      <c r="J9" s="1">
        <v>4.1034248</v>
      </c>
      <c r="K9" s="1">
        <v>1.1612783</v>
      </c>
      <c r="L9" s="1">
        <v>1.5526472</v>
      </c>
      <c r="M9">
        <v>18.126535271419254</v>
      </c>
      <c r="N9">
        <v>10.717040903395663</v>
      </c>
      <c r="O9">
        <v>5.6781527487783254</v>
      </c>
      <c r="P9">
        <v>1.7313416192452677</v>
      </c>
      <c r="Q9">
        <v>5.4941913376009595</v>
      </c>
    </row>
    <row r="10" spans="1:17" s="1" customFormat="1" x14ac:dyDescent="0.3">
      <c r="A10" s="1" t="s">
        <v>298</v>
      </c>
      <c r="B10" s="1">
        <v>1</v>
      </c>
      <c r="C10" s="1">
        <v>66.03548886507086</v>
      </c>
      <c r="D10">
        <v>48.782303203525061</v>
      </c>
      <c r="E10" s="1">
        <v>4.4538706256627787</v>
      </c>
      <c r="F10" s="17">
        <v>6.1997733149171275</v>
      </c>
      <c r="G10" s="1">
        <v>10.91189180783968</v>
      </c>
      <c r="H10" s="1">
        <v>8.25</v>
      </c>
      <c r="I10" s="18">
        <v>7.3253436000000001</v>
      </c>
      <c r="J10" s="18">
        <v>4.3298718999999997</v>
      </c>
      <c r="K10" s="18">
        <v>1.3645734999999999</v>
      </c>
      <c r="L10" s="18">
        <v>0.25858390000000003</v>
      </c>
      <c r="M10">
        <v>22.467287933324041</v>
      </c>
      <c r="N10">
        <v>13.057609132685757</v>
      </c>
      <c r="O10">
        <v>7.0800844791394812</v>
      </c>
      <c r="P10">
        <v>2.3295943214988055</v>
      </c>
      <c r="Q10">
        <v>8.6595303961666161</v>
      </c>
    </row>
    <row r="11" spans="1:17" s="1" customFormat="1" x14ac:dyDescent="0.3">
      <c r="A11" s="1" t="s">
        <v>298</v>
      </c>
      <c r="B11" s="1">
        <v>2</v>
      </c>
      <c r="C11" s="1">
        <v>67.042346896494564</v>
      </c>
      <c r="D11">
        <v>50.184091205057477</v>
      </c>
      <c r="E11" s="1">
        <v>3.9400665926748055</v>
      </c>
      <c r="F11" s="17">
        <v>6.2257129102844644</v>
      </c>
      <c r="G11" s="1">
        <v>14.285289485060368</v>
      </c>
      <c r="H11" s="1">
        <v>8.75</v>
      </c>
      <c r="I11" s="18">
        <v>5.5459709000000013</v>
      </c>
      <c r="J11" s="18">
        <v>2.8123111000000001</v>
      </c>
      <c r="K11" s="18">
        <v>1.2797544999999999</v>
      </c>
      <c r="L11" s="18">
        <v>0.2380726</v>
      </c>
      <c r="M11">
        <v>20.950702830121791</v>
      </c>
      <c r="N11">
        <v>12.211326584944027</v>
      </c>
      <c r="O11">
        <v>6.4330828512732978</v>
      </c>
      <c r="P11">
        <v>2.3062933939044648</v>
      </c>
      <c r="Q11">
        <v>8.2261131750981118</v>
      </c>
    </row>
    <row r="12" spans="1:17" s="1" customFormat="1" x14ac:dyDescent="0.3">
      <c r="A12" s="1" t="s">
        <v>299</v>
      </c>
      <c r="B12" s="1">
        <v>1</v>
      </c>
      <c r="C12" s="1">
        <v>58.192826414988232</v>
      </c>
      <c r="D12">
        <v>44.940345089365209</v>
      </c>
      <c r="E12" s="1">
        <v>3.6666666666666665</v>
      </c>
      <c r="F12" s="17">
        <v>4.8480421541826137</v>
      </c>
      <c r="G12" s="1">
        <v>7.3835967969746701</v>
      </c>
      <c r="H12" s="1">
        <v>8.23</v>
      </c>
      <c r="I12" s="18">
        <v>7.8243480000000005</v>
      </c>
      <c r="J12" s="18">
        <v>4.4334476</v>
      </c>
      <c r="K12" s="18">
        <v>1.3308895000000001</v>
      </c>
      <c r="L12" s="18">
        <v>0.279889</v>
      </c>
      <c r="M12">
        <v>22.300060128263841</v>
      </c>
      <c r="N12">
        <v>12.711452256640005</v>
      </c>
      <c r="O12">
        <v>6.9828935577458173</v>
      </c>
      <c r="P12">
        <v>2.6057143138780221</v>
      </c>
      <c r="Q12">
        <v>6.8559836734133146</v>
      </c>
    </row>
    <row r="13" spans="1:17" s="1" customFormat="1" x14ac:dyDescent="0.3">
      <c r="A13" s="1" t="s">
        <v>299</v>
      </c>
      <c r="B13" s="1">
        <v>2</v>
      </c>
      <c r="C13" s="1">
        <v>57.571904679342708</v>
      </c>
      <c r="D13">
        <v>44.260147565932691</v>
      </c>
      <c r="E13" s="1">
        <v>3.6809815950920246</v>
      </c>
      <c r="F13" s="17">
        <v>4.8085181865554985</v>
      </c>
      <c r="G13" s="1">
        <v>7.0471036966467118</v>
      </c>
      <c r="H13" s="1">
        <v>8.24</v>
      </c>
      <c r="I13" s="18">
        <v>7.7468418000000021</v>
      </c>
      <c r="J13" s="18">
        <v>4.3844021</v>
      </c>
      <c r="K13" s="18">
        <v>1.3110832000000001</v>
      </c>
      <c r="L13" s="18">
        <v>0.26892460000000001</v>
      </c>
      <c r="M13">
        <v>23.982161724465403</v>
      </c>
      <c r="N13">
        <v>13.573280517561436</v>
      </c>
      <c r="O13">
        <v>7.7037020399965686</v>
      </c>
      <c r="P13">
        <v>2.7051791669073975</v>
      </c>
      <c r="Q13">
        <v>6.6741013987790998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AB91-08CC-4615-8D08-035A2E8194F5}">
  <dimension ref="A1:B20"/>
  <sheetViews>
    <sheetView topLeftCell="A7" zoomScale="145" zoomScaleNormal="145" workbookViewId="0">
      <selection activeCell="E7" sqref="E7"/>
    </sheetView>
  </sheetViews>
  <sheetFormatPr defaultRowHeight="14.4" x14ac:dyDescent="0.3"/>
  <cols>
    <col min="1" max="1" width="15.109375" customWidth="1"/>
  </cols>
  <sheetData>
    <row r="1" spans="1:2" x14ac:dyDescent="0.3">
      <c r="B1" t="s">
        <v>301</v>
      </c>
    </row>
    <row r="2" spans="1:2" x14ac:dyDescent="0.3">
      <c r="A2" t="s">
        <v>2</v>
      </c>
      <c r="B2" t="s">
        <v>300</v>
      </c>
    </row>
    <row r="3" spans="1:2" x14ac:dyDescent="0.3">
      <c r="A3" t="s">
        <v>3</v>
      </c>
      <c r="B3" t="s">
        <v>300</v>
      </c>
    </row>
    <row r="4" spans="1:2" x14ac:dyDescent="0.3">
      <c r="A4" t="s">
        <v>167</v>
      </c>
      <c r="B4" t="s">
        <v>302</v>
      </c>
    </row>
    <row r="5" spans="1:2" x14ac:dyDescent="0.3">
      <c r="A5" t="s">
        <v>4</v>
      </c>
      <c r="B5" t="s">
        <v>300</v>
      </c>
    </row>
    <row r="6" spans="1:2" x14ac:dyDescent="0.3">
      <c r="A6" t="s">
        <v>268</v>
      </c>
      <c r="B6" t="s">
        <v>303</v>
      </c>
    </row>
    <row r="7" spans="1:2" x14ac:dyDescent="0.3">
      <c r="A7" t="s">
        <v>6</v>
      </c>
      <c r="B7" t="s">
        <v>304</v>
      </c>
    </row>
    <row r="8" spans="1:2" x14ac:dyDescent="0.3">
      <c r="A8" t="s">
        <v>8</v>
      </c>
      <c r="B8" t="s">
        <v>303</v>
      </c>
    </row>
    <row r="9" spans="1:2" x14ac:dyDescent="0.3">
      <c r="A9" t="s">
        <v>260</v>
      </c>
      <c r="B9" t="s">
        <v>303</v>
      </c>
    </row>
    <row r="10" spans="1:2" x14ac:dyDescent="0.3">
      <c r="A10" t="s">
        <v>7</v>
      </c>
      <c r="B10" t="s">
        <v>303</v>
      </c>
    </row>
    <row r="11" spans="1:2" x14ac:dyDescent="0.3">
      <c r="A11" t="s">
        <v>9</v>
      </c>
      <c r="B11" t="s">
        <v>300</v>
      </c>
    </row>
    <row r="12" spans="1:2" x14ac:dyDescent="0.3">
      <c r="A12" t="s">
        <v>10</v>
      </c>
      <c r="B12" t="s">
        <v>303</v>
      </c>
    </row>
    <row r="13" spans="1:2" x14ac:dyDescent="0.3">
      <c r="A13" t="s">
        <v>11</v>
      </c>
      <c r="B13" t="s">
        <v>303</v>
      </c>
    </row>
    <row r="14" spans="1:2" x14ac:dyDescent="0.3">
      <c r="A14" t="s">
        <v>12</v>
      </c>
      <c r="B14" t="s">
        <v>303</v>
      </c>
    </row>
    <row r="15" spans="1:2" x14ac:dyDescent="0.3">
      <c r="A15" t="s">
        <v>13</v>
      </c>
      <c r="B15" t="s">
        <v>303</v>
      </c>
    </row>
    <row r="16" spans="1:2" x14ac:dyDescent="0.3">
      <c r="A16" t="s">
        <v>14</v>
      </c>
      <c r="B16" t="s">
        <v>304</v>
      </c>
    </row>
    <row r="17" spans="1:2" x14ac:dyDescent="0.3">
      <c r="A17" t="s">
        <v>15</v>
      </c>
      <c r="B17" t="s">
        <v>304</v>
      </c>
    </row>
    <row r="18" spans="1:2" x14ac:dyDescent="0.3">
      <c r="A18" t="s">
        <v>16</v>
      </c>
      <c r="B18" t="s">
        <v>304</v>
      </c>
    </row>
    <row r="19" spans="1:2" x14ac:dyDescent="0.3">
      <c r="A19" t="s">
        <v>17</v>
      </c>
      <c r="B19" t="s">
        <v>304</v>
      </c>
    </row>
    <row r="20" spans="1:2" x14ac:dyDescent="0.3">
      <c r="A20" t="s">
        <v>18</v>
      </c>
      <c r="B20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DA73-452E-4239-97F9-5603A1016A86}">
  <dimension ref="A1:AR29"/>
  <sheetViews>
    <sheetView topLeftCell="W3" workbookViewId="0">
      <selection activeCell="AG8" sqref="AG8:AG9"/>
    </sheetView>
  </sheetViews>
  <sheetFormatPr defaultRowHeight="14.4" x14ac:dyDescent="0.3"/>
  <cols>
    <col min="1" max="1" width="8.88671875" style="3"/>
    <col min="2" max="2" width="18.44140625" style="3" customWidth="1"/>
    <col min="3" max="5" width="8.88671875" style="3"/>
    <col min="6" max="6" width="11.5546875" style="3" bestFit="1" customWidth="1"/>
    <col min="7" max="13" width="8.88671875" style="3"/>
    <col min="15" max="15" width="8.88671875" style="3"/>
    <col min="16" max="16" width="18.44140625" style="3" customWidth="1"/>
    <col min="17" max="16384" width="8.88671875" style="3"/>
  </cols>
  <sheetData>
    <row r="1" spans="1:44" s="1" customFormat="1" x14ac:dyDescent="0.3">
      <c r="A1" s="21" t="s">
        <v>261</v>
      </c>
      <c r="B1" s="21" t="s">
        <v>1</v>
      </c>
      <c r="C1" s="21" t="s">
        <v>268</v>
      </c>
      <c r="D1" s="21" t="s">
        <v>6</v>
      </c>
      <c r="E1" s="21" t="s">
        <v>8</v>
      </c>
      <c r="F1" s="21" t="s">
        <v>260</v>
      </c>
      <c r="G1" s="21" t="s">
        <v>9</v>
      </c>
      <c r="H1" s="21" t="s">
        <v>10</v>
      </c>
      <c r="I1" s="21" t="s">
        <v>14</v>
      </c>
      <c r="J1" s="21" t="s">
        <v>15</v>
      </c>
      <c r="K1" s="21" t="s">
        <v>16</v>
      </c>
      <c r="L1" s="21" t="s">
        <v>17</v>
      </c>
      <c r="M1" s="21" t="s">
        <v>18</v>
      </c>
      <c r="O1" s="21" t="s">
        <v>261</v>
      </c>
      <c r="P1" s="21" t="s">
        <v>1</v>
      </c>
      <c r="Q1" s="21" t="s">
        <v>268</v>
      </c>
      <c r="R1" s="21" t="s">
        <v>6</v>
      </c>
      <c r="S1" s="21" t="s">
        <v>8</v>
      </c>
      <c r="T1" s="21" t="s">
        <v>260</v>
      </c>
      <c r="U1" s="21" t="s">
        <v>9</v>
      </c>
      <c r="V1" s="21" t="s">
        <v>10</v>
      </c>
      <c r="W1" s="21" t="s">
        <v>14</v>
      </c>
      <c r="X1" s="21" t="s">
        <v>15</v>
      </c>
      <c r="Y1" s="21" t="s">
        <v>16</v>
      </c>
      <c r="Z1" s="21" t="s">
        <v>17</v>
      </c>
      <c r="AA1" s="21" t="s">
        <v>18</v>
      </c>
      <c r="AB1" s="1" t="s">
        <v>5</v>
      </c>
      <c r="AC1" s="21" t="s">
        <v>6</v>
      </c>
      <c r="AD1" s="21" t="s">
        <v>8</v>
      </c>
      <c r="AE1" s="21" t="s">
        <v>260</v>
      </c>
      <c r="AF1" s="21" t="s">
        <v>9</v>
      </c>
      <c r="AG1" s="21" t="s">
        <v>10</v>
      </c>
      <c r="AH1" s="21" t="s">
        <v>268</v>
      </c>
      <c r="AI1" s="21" t="s">
        <v>6</v>
      </c>
      <c r="AJ1" s="21" t="s">
        <v>8</v>
      </c>
      <c r="AK1" s="21" t="s">
        <v>260</v>
      </c>
      <c r="AL1" s="21" t="s">
        <v>9</v>
      </c>
      <c r="AM1" s="21" t="s">
        <v>10</v>
      </c>
      <c r="AN1" s="21" t="s">
        <v>14</v>
      </c>
      <c r="AO1" s="21" t="s">
        <v>15</v>
      </c>
      <c r="AP1" s="21" t="s">
        <v>16</v>
      </c>
      <c r="AQ1" s="21" t="s">
        <v>17</v>
      </c>
      <c r="AR1" s="21" t="s">
        <v>18</v>
      </c>
    </row>
    <row r="2" spans="1:44" s="1" customFormat="1" x14ac:dyDescent="0.3">
      <c r="A2" s="21" t="s">
        <v>263</v>
      </c>
      <c r="B2" s="22" t="s">
        <v>305</v>
      </c>
      <c r="C2" s="20">
        <v>23.758225429845041</v>
      </c>
      <c r="D2" s="20">
        <v>82.957337502792043</v>
      </c>
      <c r="E2" s="19">
        <v>0.81</v>
      </c>
      <c r="F2" s="20">
        <v>9.0399999999999991</v>
      </c>
      <c r="G2" s="22">
        <v>7.02</v>
      </c>
      <c r="H2" s="23">
        <v>9.5672795000000015</v>
      </c>
      <c r="I2" s="24">
        <f>SUM(J2:L2)</f>
        <v>42.497916143281131</v>
      </c>
      <c r="J2" s="26">
        <v>21.725324286160063</v>
      </c>
      <c r="K2" s="26">
        <v>16.363334312722671</v>
      </c>
      <c r="L2" s="26">
        <v>4.4092575443983968</v>
      </c>
      <c r="M2" s="22">
        <v>9.4916290615478598</v>
      </c>
      <c r="O2" s="21" t="s">
        <v>263</v>
      </c>
      <c r="P2" s="22" t="s">
        <v>305</v>
      </c>
      <c r="Q2" s="20">
        <f>C2*10</f>
        <v>237.58225429845041</v>
      </c>
      <c r="R2" s="1">
        <f>D2*10</f>
        <v>829.57337502792041</v>
      </c>
      <c r="S2" s="17">
        <f>E2</f>
        <v>0.81</v>
      </c>
      <c r="T2" s="17">
        <f t="shared" ref="T2:V2" si="0">F2</f>
        <v>9.0399999999999991</v>
      </c>
      <c r="U2" s="17">
        <f t="shared" si="0"/>
        <v>7.02</v>
      </c>
      <c r="V2" s="17">
        <f t="shared" si="0"/>
        <v>9.5672795000000015</v>
      </c>
      <c r="W2" s="1">
        <f>I2*10</f>
        <v>424.97916143281134</v>
      </c>
      <c r="X2" s="1">
        <f t="shared" ref="X2:AA2" si="1">J2*10</f>
        <v>217.25324286160063</v>
      </c>
      <c r="Y2" s="1">
        <f t="shared" si="1"/>
        <v>163.63334312722671</v>
      </c>
      <c r="Z2" s="1">
        <f t="shared" si="1"/>
        <v>44.092575443983968</v>
      </c>
      <c r="AA2" s="1">
        <f t="shared" si="1"/>
        <v>94.916290615478601</v>
      </c>
      <c r="AH2" s="39">
        <f>STDEV(Q2:Q3)</f>
        <v>15.968065148913345</v>
      </c>
      <c r="AI2" s="39">
        <f t="shared" ref="AI2:AR2" si="2">STDEV(R2:R3)</f>
        <v>13.736698253325406</v>
      </c>
      <c r="AJ2" s="39">
        <f t="shared" si="2"/>
        <v>9.899494936611658E-2</v>
      </c>
      <c r="AK2" s="39">
        <f t="shared" si="2"/>
        <v>6.3639610306789177E-2</v>
      </c>
      <c r="AL2" s="39">
        <f t="shared" si="2"/>
        <v>0.38890872965260098</v>
      </c>
      <c r="AM2" s="39">
        <f t="shared" si="2"/>
        <v>3.5782610453179711</v>
      </c>
      <c r="AN2" s="39">
        <f t="shared" si="2"/>
        <v>2.5875237369455286</v>
      </c>
      <c r="AO2" s="39">
        <f t="shared" si="2"/>
        <v>11.719329538659313</v>
      </c>
      <c r="AP2" s="39">
        <f t="shared" si="2"/>
        <v>5.4813680112968131</v>
      </c>
      <c r="AQ2" s="39">
        <f t="shared" si="2"/>
        <v>3.6504377904169463</v>
      </c>
      <c r="AR2" s="39">
        <f t="shared" si="2"/>
        <v>13.12465136762509</v>
      </c>
    </row>
    <row r="3" spans="1:44" s="1" customFormat="1" x14ac:dyDescent="0.3">
      <c r="A3" s="21" t="s">
        <v>263</v>
      </c>
      <c r="B3" s="22" t="s">
        <v>305</v>
      </c>
      <c r="C3" s="23">
        <v>21.5</v>
      </c>
      <c r="D3" s="23">
        <v>84.9</v>
      </c>
      <c r="E3" s="20">
        <v>0.95</v>
      </c>
      <c r="F3" s="19">
        <v>8.9499999999999993</v>
      </c>
      <c r="G3" s="22">
        <v>6.47</v>
      </c>
      <c r="H3" s="23">
        <v>4.5068541999999994</v>
      </c>
      <c r="I3" s="24">
        <f>SUM(J3:L3)</f>
        <v>42.8638472594562</v>
      </c>
      <c r="J3" s="26">
        <v>23.382687763709225</v>
      </c>
      <c r="K3" s="26">
        <v>15.588151814529271</v>
      </c>
      <c r="L3" s="26">
        <v>3.8930076812177048</v>
      </c>
      <c r="M3" s="22">
        <v>11.347735058099259</v>
      </c>
      <c r="O3" s="21" t="s">
        <v>263</v>
      </c>
      <c r="P3" s="22" t="s">
        <v>305</v>
      </c>
      <c r="Q3" s="20">
        <f t="shared" ref="Q3:Q29" si="3">C3*10</f>
        <v>215</v>
      </c>
      <c r="R3" s="1">
        <f t="shared" ref="R3:R29" si="4">D3*10</f>
        <v>849</v>
      </c>
      <c r="S3" s="17">
        <f t="shared" ref="S3:S29" si="5">E3</f>
        <v>0.95</v>
      </c>
      <c r="T3" s="17">
        <f t="shared" ref="T3:T29" si="6">F3</f>
        <v>8.9499999999999993</v>
      </c>
      <c r="U3" s="17">
        <f t="shared" ref="U3:U29" si="7">G3</f>
        <v>6.47</v>
      </c>
      <c r="V3" s="17">
        <f t="shared" ref="V3:V29" si="8">H3</f>
        <v>4.5068541999999994</v>
      </c>
      <c r="W3" s="1">
        <f t="shared" ref="W3:W29" si="9">I3*10</f>
        <v>428.63847259456202</v>
      </c>
      <c r="X3" s="1">
        <f t="shared" ref="X3:X29" si="10">J3*10</f>
        <v>233.82687763709225</v>
      </c>
      <c r="Y3" s="1">
        <f t="shared" ref="Y3:Y29" si="11">K3*10</f>
        <v>155.88151814529272</v>
      </c>
      <c r="Z3" s="1">
        <f t="shared" ref="Z3:Z29" si="12">L3*10</f>
        <v>38.930076812177049</v>
      </c>
      <c r="AA3" s="1">
        <f t="shared" ref="AA3:AA29" si="13">M3*10</f>
        <v>113.47735058099259</v>
      </c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spans="1:44" s="1" customFormat="1" x14ac:dyDescent="0.3">
      <c r="A4" s="21" t="s">
        <v>263</v>
      </c>
      <c r="B4" s="22" t="s">
        <v>306</v>
      </c>
      <c r="C4" s="20">
        <v>1.1776687343764469</v>
      </c>
      <c r="D4" s="20">
        <v>46.9339622641509</v>
      </c>
      <c r="E4" s="19">
        <v>0.05</v>
      </c>
      <c r="F4" s="20">
        <v>2.4900000000000002</v>
      </c>
      <c r="G4" s="22">
        <v>7.62</v>
      </c>
      <c r="H4" s="23">
        <v>0</v>
      </c>
      <c r="I4" s="22"/>
      <c r="J4" s="21"/>
      <c r="K4" s="21"/>
      <c r="L4" s="22"/>
      <c r="M4" s="22"/>
      <c r="O4" s="21" t="s">
        <v>263</v>
      </c>
      <c r="P4" s="22" t="s">
        <v>306</v>
      </c>
      <c r="Q4" s="20">
        <f t="shared" si="3"/>
        <v>11.776687343764468</v>
      </c>
      <c r="R4" s="1">
        <f t="shared" si="4"/>
        <v>469.33962264150898</v>
      </c>
      <c r="S4" s="17">
        <f t="shared" si="5"/>
        <v>0.05</v>
      </c>
      <c r="T4" s="17">
        <f t="shared" si="6"/>
        <v>2.4900000000000002</v>
      </c>
      <c r="U4" s="17">
        <f t="shared" si="7"/>
        <v>7.62</v>
      </c>
      <c r="V4" s="17">
        <f t="shared" si="8"/>
        <v>0</v>
      </c>
      <c r="W4" s="1">
        <f t="shared" si="9"/>
        <v>0</v>
      </c>
      <c r="X4" s="1">
        <f t="shared" si="10"/>
        <v>0</v>
      </c>
      <c r="Y4" s="1">
        <f t="shared" si="11"/>
        <v>0</v>
      </c>
      <c r="Z4" s="1">
        <f t="shared" si="12"/>
        <v>0</v>
      </c>
      <c r="AA4" s="1">
        <f t="shared" si="13"/>
        <v>0</v>
      </c>
      <c r="AH4" s="39">
        <f>STDEV(Q4:Q5)</f>
        <v>3.7337795135674008</v>
      </c>
      <c r="AI4" s="39">
        <f t="shared" ref="AI4:AR4" si="14">STDEV(R4:R5)</f>
        <v>39.182803842604024</v>
      </c>
      <c r="AJ4" s="39">
        <f t="shared" si="14"/>
        <v>4.2426406871192847E-2</v>
      </c>
      <c r="AK4" s="39">
        <f t="shared" si="14"/>
        <v>0.80610173055266354</v>
      </c>
      <c r="AL4" s="39">
        <f t="shared" si="14"/>
        <v>7.7781745930520452E-2</v>
      </c>
      <c r="AM4" s="39">
        <f t="shared" si="14"/>
        <v>0</v>
      </c>
      <c r="AN4" s="39">
        <f t="shared" si="14"/>
        <v>0</v>
      </c>
      <c r="AO4" s="39">
        <f t="shared" si="14"/>
        <v>0</v>
      </c>
      <c r="AP4" s="39">
        <f t="shared" si="14"/>
        <v>0</v>
      </c>
      <c r="AQ4" s="39">
        <f t="shared" si="14"/>
        <v>0</v>
      </c>
      <c r="AR4" s="39">
        <f t="shared" si="14"/>
        <v>0</v>
      </c>
    </row>
    <row r="5" spans="1:44" s="1" customFormat="1" x14ac:dyDescent="0.3">
      <c r="A5" s="21" t="s">
        <v>263</v>
      </c>
      <c r="B5" s="22" t="s">
        <v>306</v>
      </c>
      <c r="C5" s="20">
        <v>0.64963257167666288</v>
      </c>
      <c r="D5" s="20">
        <v>52.475247524752419</v>
      </c>
      <c r="E5" s="19">
        <v>0.11</v>
      </c>
      <c r="F5" s="20">
        <v>1.35</v>
      </c>
      <c r="G5" s="22">
        <v>7.51</v>
      </c>
      <c r="H5" s="23">
        <v>0</v>
      </c>
      <c r="I5" s="22"/>
      <c r="J5" s="21"/>
      <c r="K5" s="21"/>
      <c r="L5" s="22"/>
      <c r="M5" s="22"/>
      <c r="O5" s="21" t="s">
        <v>263</v>
      </c>
      <c r="P5" s="22" t="s">
        <v>306</v>
      </c>
      <c r="Q5" s="20">
        <f t="shared" si="3"/>
        <v>6.4963257167666288</v>
      </c>
      <c r="R5" s="1">
        <f t="shared" si="4"/>
        <v>524.75247524752422</v>
      </c>
      <c r="S5" s="17">
        <f t="shared" si="5"/>
        <v>0.11</v>
      </c>
      <c r="T5" s="17">
        <f t="shared" si="6"/>
        <v>1.35</v>
      </c>
      <c r="U5" s="17">
        <f t="shared" si="7"/>
        <v>7.51</v>
      </c>
      <c r="V5" s="17">
        <f t="shared" si="8"/>
        <v>0</v>
      </c>
      <c r="W5" s="1">
        <f t="shared" si="9"/>
        <v>0</v>
      </c>
      <c r="X5" s="1">
        <f t="shared" si="10"/>
        <v>0</v>
      </c>
      <c r="Y5" s="1">
        <f t="shared" si="11"/>
        <v>0</v>
      </c>
      <c r="Z5" s="1">
        <f t="shared" si="12"/>
        <v>0</v>
      </c>
      <c r="AA5" s="1">
        <f t="shared" si="13"/>
        <v>0</v>
      </c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</row>
    <row r="6" spans="1:44" s="1" customFormat="1" x14ac:dyDescent="0.3">
      <c r="A6" s="21" t="s">
        <v>263</v>
      </c>
      <c r="B6" s="22" t="s">
        <v>54</v>
      </c>
      <c r="C6" s="22">
        <v>7.2299482982664696</v>
      </c>
      <c r="D6" s="22">
        <v>75.666029318036948</v>
      </c>
      <c r="E6" s="22">
        <v>4.2112035516152782</v>
      </c>
      <c r="F6" s="23">
        <v>5.316160959651036</v>
      </c>
      <c r="G6" s="22">
        <v>7.17</v>
      </c>
      <c r="H6" s="22">
        <v>12.574059399999999</v>
      </c>
      <c r="I6" s="1">
        <v>33.962743814539785</v>
      </c>
      <c r="J6" s="1">
        <v>20.441530007873702</v>
      </c>
      <c r="K6" s="1">
        <v>9.8423628163068191</v>
      </c>
      <c r="L6" s="1">
        <v>3.6788509903592659</v>
      </c>
      <c r="M6" s="1">
        <v>13.793743673002098</v>
      </c>
      <c r="O6" s="21" t="s">
        <v>263</v>
      </c>
      <c r="P6" s="22" t="s">
        <v>54</v>
      </c>
      <c r="Q6" s="20">
        <f t="shared" si="3"/>
        <v>72.299482982664699</v>
      </c>
      <c r="R6" s="1">
        <f t="shared" si="4"/>
        <v>756.66029318036954</v>
      </c>
      <c r="S6" s="17">
        <f t="shared" si="5"/>
        <v>4.2112035516152782</v>
      </c>
      <c r="T6" s="17">
        <f t="shared" si="6"/>
        <v>5.316160959651036</v>
      </c>
      <c r="U6" s="17">
        <f t="shared" si="7"/>
        <v>7.17</v>
      </c>
      <c r="V6" s="17">
        <f t="shared" si="8"/>
        <v>12.574059399999999</v>
      </c>
      <c r="W6" s="1">
        <f t="shared" si="9"/>
        <v>339.62743814539783</v>
      </c>
      <c r="X6" s="1">
        <f t="shared" si="10"/>
        <v>204.415300078737</v>
      </c>
      <c r="Y6" s="1">
        <f t="shared" si="11"/>
        <v>98.423628163068187</v>
      </c>
      <c r="Z6" s="1">
        <f t="shared" si="12"/>
        <v>36.788509903592661</v>
      </c>
      <c r="AA6" s="1">
        <f t="shared" si="13"/>
        <v>137.93743673002098</v>
      </c>
      <c r="AB6" s="38">
        <f>AVERAGE(Q6:Q7)</f>
        <v>71.269762140046097</v>
      </c>
      <c r="AC6" s="38">
        <f t="shared" ref="AC6:AE6" si="15">AVERAGE(R6:R7)</f>
        <v>757.31298972743969</v>
      </c>
      <c r="AD6" s="38">
        <f t="shared" si="15"/>
        <v>4.1106011016152788</v>
      </c>
      <c r="AE6" s="38">
        <f t="shared" si="15"/>
        <v>5.4275558135457729</v>
      </c>
      <c r="AF6" s="38">
        <f t="shared" ref="AF6" si="16">AVERAGE(U6:U7)</f>
        <v>7.21</v>
      </c>
      <c r="AG6" s="38">
        <f t="shared" ref="AG6" si="17">AVERAGE(V6:V7)</f>
        <v>11.7463815</v>
      </c>
      <c r="AH6" s="40">
        <f>STDEV(Q6:Q7)</f>
        <v>1.4562451810894779</v>
      </c>
      <c r="AI6" s="39">
        <f t="shared" ref="AI6:AR6" si="18">STDEV(R6:R7)</f>
        <v>0.92305230898069501</v>
      </c>
      <c r="AJ6" s="39">
        <f t="shared" si="18"/>
        <v>0.14227334919796086</v>
      </c>
      <c r="AK6" s="39">
        <f t="shared" si="18"/>
        <v>0.15753611315650634</v>
      </c>
      <c r="AL6" s="39">
        <f t="shared" si="18"/>
        <v>5.6568542494923851E-2</v>
      </c>
      <c r="AM6" s="39">
        <f t="shared" si="18"/>
        <v>1.1705133114564814</v>
      </c>
      <c r="AN6" s="39">
        <f t="shared" si="18"/>
        <v>22.766073983797877</v>
      </c>
      <c r="AO6" s="39">
        <f t="shared" si="18"/>
        <v>8.6044618018326808</v>
      </c>
      <c r="AP6" s="39">
        <f t="shared" si="18"/>
        <v>29.641153121727026</v>
      </c>
      <c r="AQ6" s="39">
        <f t="shared" si="18"/>
        <v>1.7293826639034624</v>
      </c>
      <c r="AR6" s="39">
        <f t="shared" si="18"/>
        <v>0.84572462199988707</v>
      </c>
    </row>
    <row r="7" spans="1:44" s="1" customFormat="1" x14ac:dyDescent="0.3">
      <c r="A7" s="21" t="s">
        <v>263</v>
      </c>
      <c r="B7" s="22" t="s">
        <v>54</v>
      </c>
      <c r="C7" s="22">
        <v>7.0240041297427496</v>
      </c>
      <c r="D7" s="22">
        <v>75.796568627450981</v>
      </c>
      <c r="E7" s="22">
        <v>4.0099986516152786</v>
      </c>
      <c r="F7" s="23">
        <v>5.5389506674405098</v>
      </c>
      <c r="G7" s="22">
        <v>7.25</v>
      </c>
      <c r="H7" s="22">
        <v>10.918703600000001</v>
      </c>
      <c r="I7" s="1">
        <v>37.182352873527407</v>
      </c>
      <c r="J7" s="1">
        <v>19.2246753501664</v>
      </c>
      <c r="K7" s="1">
        <v>14.034254891219222</v>
      </c>
      <c r="L7" s="1">
        <v>3.9234226321417847</v>
      </c>
      <c r="M7" s="1">
        <v>13.674140149955589</v>
      </c>
      <c r="O7" s="21" t="s">
        <v>263</v>
      </c>
      <c r="P7" s="22" t="s">
        <v>54</v>
      </c>
      <c r="Q7" s="20">
        <f t="shared" si="3"/>
        <v>70.240041297427496</v>
      </c>
      <c r="R7" s="1">
        <f t="shared" si="4"/>
        <v>757.96568627450984</v>
      </c>
      <c r="S7" s="17">
        <f t="shared" si="5"/>
        <v>4.0099986516152786</v>
      </c>
      <c r="T7" s="17">
        <f t="shared" si="6"/>
        <v>5.5389506674405098</v>
      </c>
      <c r="U7" s="17">
        <f t="shared" si="7"/>
        <v>7.25</v>
      </c>
      <c r="V7" s="17">
        <f t="shared" si="8"/>
        <v>10.918703600000001</v>
      </c>
      <c r="W7" s="1">
        <f t="shared" si="9"/>
        <v>371.82352873527407</v>
      </c>
      <c r="X7" s="1">
        <f t="shared" si="10"/>
        <v>192.24675350166399</v>
      </c>
      <c r="Y7" s="1">
        <f t="shared" si="11"/>
        <v>140.34254891219223</v>
      </c>
      <c r="Z7" s="1">
        <f t="shared" si="12"/>
        <v>39.23422632141785</v>
      </c>
      <c r="AA7" s="1">
        <f t="shared" si="13"/>
        <v>136.74140149955588</v>
      </c>
      <c r="AB7" s="38"/>
      <c r="AC7" s="38"/>
      <c r="AD7" s="38"/>
      <c r="AE7" s="38"/>
      <c r="AF7" s="38"/>
      <c r="AG7" s="38"/>
      <c r="AH7" s="40"/>
      <c r="AI7" s="39"/>
      <c r="AJ7" s="39"/>
      <c r="AK7" s="39"/>
      <c r="AL7" s="39"/>
      <c r="AM7" s="39"/>
      <c r="AN7" s="39"/>
      <c r="AO7" s="39"/>
      <c r="AP7" s="39"/>
      <c r="AQ7" s="39"/>
      <c r="AR7" s="39"/>
    </row>
    <row r="8" spans="1:44" s="1" customFormat="1" x14ac:dyDescent="0.3">
      <c r="A8" s="21" t="s">
        <v>263</v>
      </c>
      <c r="B8" s="22" t="s">
        <v>61</v>
      </c>
      <c r="C8" s="22">
        <v>6.9134246863023092</v>
      </c>
      <c r="D8" s="22">
        <v>76.047995139732691</v>
      </c>
      <c r="E8" s="22">
        <v>4.4254126516152779</v>
      </c>
      <c r="F8" s="23">
        <v>5.3598785766691117</v>
      </c>
      <c r="G8" s="22">
        <v>7.1</v>
      </c>
      <c r="H8" s="22">
        <v>12.020690099999999</v>
      </c>
      <c r="I8" s="1">
        <v>34.939959712943278</v>
      </c>
      <c r="J8" s="1">
        <v>20.148326723377444</v>
      </c>
      <c r="K8" s="1">
        <v>11.042408438338635</v>
      </c>
      <c r="L8" s="1">
        <v>3.7492245512271976</v>
      </c>
      <c r="M8" s="1">
        <v>11.76504465096431</v>
      </c>
      <c r="O8" s="21" t="s">
        <v>263</v>
      </c>
      <c r="P8" s="22" t="s">
        <v>61</v>
      </c>
      <c r="Q8" s="20">
        <f t="shared" si="3"/>
        <v>69.134246863023094</v>
      </c>
      <c r="R8" s="1">
        <f t="shared" si="4"/>
        <v>760.47995139732689</v>
      </c>
      <c r="S8" s="17">
        <f t="shared" si="5"/>
        <v>4.4254126516152779</v>
      </c>
      <c r="T8" s="17">
        <f t="shared" si="6"/>
        <v>5.3598785766691117</v>
      </c>
      <c r="U8" s="17">
        <f t="shared" si="7"/>
        <v>7.1</v>
      </c>
      <c r="V8" s="17">
        <f t="shared" si="8"/>
        <v>12.020690099999999</v>
      </c>
      <c r="W8" s="1">
        <f t="shared" si="9"/>
        <v>349.39959712943278</v>
      </c>
      <c r="X8" s="1">
        <f t="shared" si="10"/>
        <v>201.48326723377443</v>
      </c>
      <c r="Y8" s="1">
        <f t="shared" si="11"/>
        <v>110.42408438338634</v>
      </c>
      <c r="Z8" s="1">
        <f t="shared" si="12"/>
        <v>37.492245512271978</v>
      </c>
      <c r="AA8" s="1">
        <f t="shared" si="13"/>
        <v>117.6504465096431</v>
      </c>
      <c r="AB8" s="38">
        <f t="shared" ref="AB8" si="19">AVERAGE(Q8:Q9)</f>
        <v>72.050056529254704</v>
      </c>
      <c r="AC8" s="38">
        <f t="shared" ref="AC8" si="20">AVERAGE(R8:R9)</f>
        <v>766.09499229572953</v>
      </c>
      <c r="AD8" s="38">
        <f t="shared" ref="AD8" si="21">AVERAGE(S8:S9)</f>
        <v>4.2172741516152783</v>
      </c>
      <c r="AE8" s="38">
        <f t="shared" ref="AE8" si="22">AVERAGE(T8:T9)</f>
        <v>5.3480850992492375</v>
      </c>
      <c r="AF8" s="38">
        <f t="shared" ref="AF8" si="23">AVERAGE(U8:U9)</f>
        <v>7.1050000000000004</v>
      </c>
      <c r="AG8" s="38">
        <f t="shared" ref="AG8" si="24">AVERAGE(V8:V9)</f>
        <v>10.72516295</v>
      </c>
      <c r="AH8" s="40">
        <f>STDEV(Q8:Q9)</f>
        <v>4.1235775752833002</v>
      </c>
      <c r="AI8" s="39">
        <f t="shared" ref="AI8:AR8" si="25">STDEV(R8:R9)</f>
        <v>7.9408669918006218</v>
      </c>
      <c r="AJ8" s="39">
        <f t="shared" si="25"/>
        <v>0.29435228955199244</v>
      </c>
      <c r="AK8" s="39">
        <f t="shared" si="25"/>
        <v>1.667849571472764E-2</v>
      </c>
      <c r="AL8" s="39">
        <f t="shared" si="25"/>
        <v>7.0710678118659524E-3</v>
      </c>
      <c r="AM8" s="39">
        <f t="shared" si="25"/>
        <v>1.8321520659525605</v>
      </c>
      <c r="AN8" s="39">
        <f t="shared" si="25"/>
        <v>42.516098944272287</v>
      </c>
      <c r="AO8" s="39">
        <f t="shared" si="25"/>
        <v>8.7285510415985428</v>
      </c>
      <c r="AP8" s="39">
        <f t="shared" si="25"/>
        <v>35.695411968719647</v>
      </c>
      <c r="AQ8" s="39">
        <f t="shared" si="25"/>
        <v>1.9078640660459623</v>
      </c>
      <c r="AR8" s="39">
        <f t="shared" si="25"/>
        <v>0.25210253468144311</v>
      </c>
    </row>
    <row r="9" spans="1:44" s="1" customFormat="1" x14ac:dyDescent="0.3">
      <c r="A9" s="21" t="s">
        <v>263</v>
      </c>
      <c r="B9" s="22" t="s">
        <v>61</v>
      </c>
      <c r="C9" s="22">
        <v>7.4965866195486299</v>
      </c>
      <c r="D9" s="22">
        <v>77.171003319413217</v>
      </c>
      <c r="E9" s="22">
        <v>4.0091356516152779</v>
      </c>
      <c r="F9" s="23">
        <v>5.3362916218293623</v>
      </c>
      <c r="G9" s="22">
        <v>7.11</v>
      </c>
      <c r="H9" s="22">
        <v>9.4296357999999998</v>
      </c>
      <c r="I9" s="1">
        <v>40.952644087561907</v>
      </c>
      <c r="J9" s="1">
        <v>21.382730249666889</v>
      </c>
      <c r="K9" s="1">
        <v>16.090502010404464</v>
      </c>
      <c r="L9" s="1">
        <v>3.4794118274905497</v>
      </c>
      <c r="M9" s="1">
        <v>11.729391968598797</v>
      </c>
      <c r="O9" s="21" t="s">
        <v>263</v>
      </c>
      <c r="P9" s="22" t="s">
        <v>61</v>
      </c>
      <c r="Q9" s="20">
        <f t="shared" si="3"/>
        <v>74.965866195486299</v>
      </c>
      <c r="R9" s="1">
        <f t="shared" si="4"/>
        <v>771.71003319413217</v>
      </c>
      <c r="S9" s="17">
        <f t="shared" si="5"/>
        <v>4.0091356516152779</v>
      </c>
      <c r="T9" s="17">
        <f t="shared" si="6"/>
        <v>5.3362916218293623</v>
      </c>
      <c r="U9" s="17">
        <f t="shared" si="7"/>
        <v>7.11</v>
      </c>
      <c r="V9" s="17">
        <f t="shared" si="8"/>
        <v>9.4296357999999998</v>
      </c>
      <c r="W9" s="1">
        <f t="shared" si="9"/>
        <v>409.52644087561907</v>
      </c>
      <c r="X9" s="1">
        <f t="shared" si="10"/>
        <v>213.82730249666889</v>
      </c>
      <c r="Y9" s="1">
        <f t="shared" si="11"/>
        <v>160.90502010404464</v>
      </c>
      <c r="Z9" s="1">
        <f t="shared" si="12"/>
        <v>34.7941182749055</v>
      </c>
      <c r="AA9" s="1">
        <f t="shared" si="13"/>
        <v>117.29391968598797</v>
      </c>
      <c r="AB9" s="38"/>
      <c r="AC9" s="38"/>
      <c r="AD9" s="38"/>
      <c r="AE9" s="38"/>
      <c r="AF9" s="38"/>
      <c r="AG9" s="38"/>
      <c r="AH9" s="40"/>
      <c r="AI9" s="39"/>
      <c r="AJ9" s="39"/>
      <c r="AK9" s="39"/>
      <c r="AL9" s="39"/>
      <c r="AM9" s="39"/>
      <c r="AN9" s="39"/>
      <c r="AO9" s="39"/>
      <c r="AP9" s="39"/>
      <c r="AQ9" s="39"/>
      <c r="AR9" s="39"/>
    </row>
    <row r="10" spans="1:44" s="1" customFormat="1" x14ac:dyDescent="0.3">
      <c r="A10" s="21" t="s">
        <v>262</v>
      </c>
      <c r="B10" s="22" t="s">
        <v>305</v>
      </c>
      <c r="C10" s="20">
        <v>16.887856668878563</v>
      </c>
      <c r="D10" s="20">
        <v>83.906352324819906</v>
      </c>
      <c r="E10" s="23">
        <v>0.98716683119447191</v>
      </c>
      <c r="F10" s="23">
        <v>7.0191008722880781</v>
      </c>
      <c r="G10" s="22">
        <v>7.04</v>
      </c>
      <c r="H10" s="22">
        <v>13.053080500000002</v>
      </c>
      <c r="I10" s="24">
        <f>SUM(J10:L10)</f>
        <v>36.741103628060252</v>
      </c>
      <c r="J10" s="26">
        <v>20.407246307419186</v>
      </c>
      <c r="K10" s="26">
        <v>12.328510205511108</v>
      </c>
      <c r="L10" s="26">
        <v>4.0053471151299576</v>
      </c>
      <c r="M10" s="21">
        <v>12.814771590212725</v>
      </c>
      <c r="O10" s="21" t="s">
        <v>262</v>
      </c>
      <c r="P10" s="22" t="s">
        <v>305</v>
      </c>
      <c r="Q10" s="20">
        <f t="shared" si="3"/>
        <v>168.87856668878561</v>
      </c>
      <c r="R10" s="1">
        <f t="shared" si="4"/>
        <v>839.06352324819909</v>
      </c>
      <c r="S10" s="17">
        <f t="shared" si="5"/>
        <v>0.98716683119447191</v>
      </c>
      <c r="T10" s="17">
        <f t="shared" si="6"/>
        <v>7.0191008722880781</v>
      </c>
      <c r="U10" s="17">
        <f t="shared" si="7"/>
        <v>7.04</v>
      </c>
      <c r="V10" s="17">
        <f t="shared" si="8"/>
        <v>13.053080500000002</v>
      </c>
      <c r="W10" s="1">
        <f t="shared" si="9"/>
        <v>367.4110362806025</v>
      </c>
      <c r="X10" s="1">
        <f t="shared" si="10"/>
        <v>204.07246307419186</v>
      </c>
      <c r="Y10" s="1">
        <f t="shared" si="11"/>
        <v>123.28510205511108</v>
      </c>
      <c r="Z10" s="1">
        <f t="shared" si="12"/>
        <v>40.053471151299576</v>
      </c>
      <c r="AA10" s="1">
        <f t="shared" si="13"/>
        <v>128.14771590212726</v>
      </c>
      <c r="AB10" s="37">
        <f t="shared" ref="AB10" si="26">AVERAGE(Q10:Q11)</f>
        <v>177.49718667648457</v>
      </c>
      <c r="AC10" s="37">
        <f t="shared" ref="AC10" si="27">AVERAGE(R10:R11)</f>
        <v>839.17461876695666</v>
      </c>
      <c r="AD10" s="37">
        <f t="shared" ref="AD10" si="28">AVERAGE(S10:S11)</f>
        <v>0.81977167281997598</v>
      </c>
      <c r="AE10" s="37">
        <f t="shared" ref="AE10" si="29">AVERAGE(T10:T11)</f>
        <v>6.7891640725076758</v>
      </c>
      <c r="AF10" s="37">
        <f t="shared" ref="AF10" si="30">AVERAGE(U10:U11)</f>
        <v>6.9399999999999995</v>
      </c>
      <c r="AG10" s="37">
        <f t="shared" ref="AG10" si="31">AVERAGE(V10:V11)</f>
        <v>10.4649292</v>
      </c>
      <c r="AH10" s="39">
        <f>STDEV(Q10:Q11)</f>
        <v>12.188569275543712</v>
      </c>
      <c r="AI10" s="39">
        <f t="shared" ref="AI10:AR10" si="32">STDEV(R10:R11)</f>
        <v>0.15711278934590411</v>
      </c>
      <c r="AJ10" s="39">
        <f t="shared" si="32"/>
        <v>0.2367325032488039</v>
      </c>
      <c r="AK10" s="39">
        <f t="shared" si="32"/>
        <v>0.32517974073811245</v>
      </c>
      <c r="AL10" s="39">
        <f t="shared" si="32"/>
        <v>0.14142135623730964</v>
      </c>
      <c r="AM10" s="39">
        <f t="shared" si="32"/>
        <v>3.6601986699335618</v>
      </c>
      <c r="AN10" s="39">
        <f t="shared" si="32"/>
        <v>20.589487363992024</v>
      </c>
      <c r="AO10" s="39">
        <f t="shared" si="32"/>
        <v>22.750327210243441</v>
      </c>
      <c r="AP10" s="39">
        <f t="shared" si="32"/>
        <v>3.0671992755183148</v>
      </c>
      <c r="AQ10" s="39">
        <f t="shared" si="32"/>
        <v>0.90635942926683499</v>
      </c>
      <c r="AR10" s="39">
        <f t="shared" si="32"/>
        <v>2.4014804914834387</v>
      </c>
    </row>
    <row r="11" spans="1:44" s="1" customFormat="1" x14ac:dyDescent="0.3">
      <c r="A11" s="21" t="s">
        <v>262</v>
      </c>
      <c r="B11" s="22" t="s">
        <v>305</v>
      </c>
      <c r="C11" s="20">
        <v>18.611580666418355</v>
      </c>
      <c r="D11" s="20">
        <v>83.928571428571431</v>
      </c>
      <c r="E11" s="23">
        <v>0.65237651444547995</v>
      </c>
      <c r="F11" s="23">
        <v>6.5592272727272727</v>
      </c>
      <c r="G11" s="22">
        <v>6.84</v>
      </c>
      <c r="H11" s="22">
        <v>7.8767778999999996</v>
      </c>
      <c r="I11" s="24">
        <f>SUM(J11:L11)</f>
        <v>39.652896855306949</v>
      </c>
      <c r="J11" s="26">
        <v>23.62462843633438</v>
      </c>
      <c r="K11" s="26">
        <v>11.894742724117215</v>
      </c>
      <c r="L11" s="26">
        <v>4.1335256948553472</v>
      </c>
      <c r="M11" s="22">
        <v>12.475150962129698</v>
      </c>
      <c r="O11" s="21" t="s">
        <v>262</v>
      </c>
      <c r="P11" s="22" t="s">
        <v>305</v>
      </c>
      <c r="Q11" s="20">
        <f t="shared" si="3"/>
        <v>186.11580666418354</v>
      </c>
      <c r="R11" s="1">
        <f t="shared" si="4"/>
        <v>839.28571428571433</v>
      </c>
      <c r="S11" s="17">
        <f t="shared" si="5"/>
        <v>0.65237651444547995</v>
      </c>
      <c r="T11" s="17">
        <f t="shared" si="6"/>
        <v>6.5592272727272727</v>
      </c>
      <c r="U11" s="17">
        <f t="shared" si="7"/>
        <v>6.84</v>
      </c>
      <c r="V11" s="17">
        <f t="shared" si="8"/>
        <v>7.8767778999999996</v>
      </c>
      <c r="W11" s="1">
        <f t="shared" si="9"/>
        <v>396.52896855306949</v>
      </c>
      <c r="X11" s="1">
        <f t="shared" si="10"/>
        <v>236.24628436334379</v>
      </c>
      <c r="Y11" s="1">
        <f t="shared" si="11"/>
        <v>118.94742724117215</v>
      </c>
      <c r="Z11" s="1">
        <f t="shared" si="12"/>
        <v>41.335256948553472</v>
      </c>
      <c r="AA11" s="1">
        <f t="shared" si="13"/>
        <v>124.75150962129698</v>
      </c>
      <c r="AB11" s="37"/>
      <c r="AC11" s="37"/>
      <c r="AD11" s="37"/>
      <c r="AE11" s="37"/>
      <c r="AF11" s="37"/>
      <c r="AG11" s="37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</row>
    <row r="12" spans="1:44" s="1" customFormat="1" x14ac:dyDescent="0.3">
      <c r="A12" s="21" t="s">
        <v>262</v>
      </c>
      <c r="B12" s="22" t="s">
        <v>306</v>
      </c>
      <c r="C12" s="20">
        <v>1.7972052558850711</v>
      </c>
      <c r="D12" s="20">
        <v>50.454959053685158</v>
      </c>
      <c r="E12" s="23">
        <v>0.85</v>
      </c>
      <c r="F12" s="23">
        <v>3.2714196891191714</v>
      </c>
      <c r="G12" s="22">
        <v>8.5</v>
      </c>
      <c r="H12" s="22">
        <v>0.21957759999999998</v>
      </c>
      <c r="I12" s="22"/>
      <c r="J12" s="22"/>
      <c r="K12" s="22"/>
      <c r="L12" s="22"/>
      <c r="M12" s="22"/>
      <c r="O12" s="21" t="s">
        <v>262</v>
      </c>
      <c r="P12" s="22" t="s">
        <v>306</v>
      </c>
      <c r="Q12" s="20">
        <f t="shared" si="3"/>
        <v>17.972052558850709</v>
      </c>
      <c r="R12" s="1">
        <f t="shared" si="4"/>
        <v>504.54959053685161</v>
      </c>
      <c r="S12" s="17">
        <f t="shared" si="5"/>
        <v>0.85</v>
      </c>
      <c r="T12" s="17">
        <f t="shared" si="6"/>
        <v>3.2714196891191714</v>
      </c>
      <c r="U12" s="17">
        <f t="shared" si="7"/>
        <v>8.5</v>
      </c>
      <c r="V12" s="17">
        <f t="shared" si="8"/>
        <v>0.21957759999999998</v>
      </c>
      <c r="W12" s="1">
        <f t="shared" si="9"/>
        <v>0</v>
      </c>
      <c r="X12" s="1">
        <f t="shared" si="10"/>
        <v>0</v>
      </c>
      <c r="Y12" s="1">
        <f t="shared" si="11"/>
        <v>0</v>
      </c>
      <c r="Z12" s="1">
        <f t="shared" si="12"/>
        <v>0</v>
      </c>
      <c r="AA12" s="1">
        <f t="shared" si="13"/>
        <v>0</v>
      </c>
      <c r="AB12" s="37">
        <f t="shared" ref="AB12" si="33">AVERAGE(Q12:Q13)</f>
        <v>17.25473101593472</v>
      </c>
      <c r="AC12" s="37">
        <f t="shared" ref="AC12" si="34">AVERAGE(R12:R13)</f>
        <v>532.55488610869838</v>
      </c>
      <c r="AD12" s="37">
        <f t="shared" ref="AD12" si="35">AVERAGE(S12:S13)</f>
        <v>0.4945</v>
      </c>
      <c r="AE12" s="37">
        <f t="shared" ref="AE12" si="36">AVERAGE(T12:T13)</f>
        <v>3.3995955356824066</v>
      </c>
      <c r="AF12" s="37">
        <f t="shared" ref="AF12" si="37">AVERAGE(U12:U13)</f>
        <v>8.24</v>
      </c>
      <c r="AG12" s="37">
        <f t="shared" ref="AG12" si="38">AVERAGE(V12:V13)</f>
        <v>0.11028879999999999</v>
      </c>
      <c r="AH12" s="39">
        <f>STDEV(Q12:Q13)</f>
        <v>1.0144458545741866</v>
      </c>
      <c r="AI12" s="39">
        <f t="shared" ref="AI12:AR12" si="39">STDEV(R12:R13)</f>
        <v>39.605468815972891</v>
      </c>
      <c r="AJ12" s="39">
        <f t="shared" si="39"/>
        <v>0.50275292142363526</v>
      </c>
      <c r="AK12" s="39">
        <f t="shared" si="39"/>
        <v>0.1812680205783804</v>
      </c>
      <c r="AL12" s="39">
        <f t="shared" si="39"/>
        <v>0.36769552621700441</v>
      </c>
      <c r="AM12" s="39">
        <f t="shared" si="39"/>
        <v>0.1545577031754807</v>
      </c>
      <c r="AN12" s="39">
        <f t="shared" si="39"/>
        <v>0</v>
      </c>
      <c r="AO12" s="39">
        <f t="shared" si="39"/>
        <v>0</v>
      </c>
      <c r="AP12" s="39">
        <f t="shared" si="39"/>
        <v>0</v>
      </c>
      <c r="AQ12" s="39">
        <f t="shared" si="39"/>
        <v>0</v>
      </c>
      <c r="AR12" s="39">
        <f t="shared" si="39"/>
        <v>0</v>
      </c>
    </row>
    <row r="13" spans="1:44" s="1" customFormat="1" x14ac:dyDescent="0.3">
      <c r="A13" s="21" t="s">
        <v>262</v>
      </c>
      <c r="B13" s="22" t="s">
        <v>306</v>
      </c>
      <c r="C13" s="20">
        <v>1.6537409473018732</v>
      </c>
      <c r="D13" s="20">
        <v>56.056018168054514</v>
      </c>
      <c r="E13" s="23">
        <v>0.13900000000000001</v>
      </c>
      <c r="F13" s="23">
        <v>3.5277713822456422</v>
      </c>
      <c r="G13" s="22">
        <v>7.98</v>
      </c>
      <c r="H13" s="22">
        <v>1E-3</v>
      </c>
      <c r="I13" s="22"/>
      <c r="J13" s="22"/>
      <c r="K13" s="22"/>
      <c r="L13" s="22"/>
      <c r="M13" s="22"/>
      <c r="O13" s="21" t="s">
        <v>262</v>
      </c>
      <c r="P13" s="22" t="s">
        <v>306</v>
      </c>
      <c r="Q13" s="20">
        <f t="shared" si="3"/>
        <v>16.53740947301873</v>
      </c>
      <c r="R13" s="1">
        <f t="shared" si="4"/>
        <v>560.56018168054516</v>
      </c>
      <c r="S13" s="17">
        <f t="shared" si="5"/>
        <v>0.13900000000000001</v>
      </c>
      <c r="T13" s="17">
        <f t="shared" si="6"/>
        <v>3.5277713822456422</v>
      </c>
      <c r="U13" s="17">
        <f t="shared" si="7"/>
        <v>7.98</v>
      </c>
      <c r="V13" s="17">
        <f t="shared" si="8"/>
        <v>1E-3</v>
      </c>
      <c r="W13" s="1">
        <f t="shared" si="9"/>
        <v>0</v>
      </c>
      <c r="X13" s="1">
        <f t="shared" si="10"/>
        <v>0</v>
      </c>
      <c r="Y13" s="1">
        <f t="shared" si="11"/>
        <v>0</v>
      </c>
      <c r="Z13" s="1">
        <f t="shared" si="12"/>
        <v>0</v>
      </c>
      <c r="AA13" s="1">
        <f t="shared" si="13"/>
        <v>0</v>
      </c>
      <c r="AB13" s="37"/>
      <c r="AC13" s="37"/>
      <c r="AD13" s="37"/>
      <c r="AE13" s="37"/>
      <c r="AF13" s="37"/>
      <c r="AG13" s="37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</row>
    <row r="14" spans="1:44" s="1" customFormat="1" x14ac:dyDescent="0.3">
      <c r="A14" s="22" t="s">
        <v>262</v>
      </c>
      <c r="B14" s="22" t="s">
        <v>54</v>
      </c>
      <c r="C14" s="22">
        <v>6.7699137365686299</v>
      </c>
      <c r="D14" s="22">
        <v>75.987332339791337</v>
      </c>
      <c r="E14" s="22">
        <v>2.7592029999999999</v>
      </c>
      <c r="F14" s="22">
        <v>4.8196370000000002</v>
      </c>
      <c r="G14" s="25">
        <v>6.85</v>
      </c>
      <c r="H14" s="22">
        <v>18.3125678</v>
      </c>
      <c r="I14" s="1">
        <v>33.962743814539785</v>
      </c>
      <c r="J14" s="1">
        <v>20.441530007873702</v>
      </c>
      <c r="K14" s="1">
        <v>9.8423628163068191</v>
      </c>
      <c r="L14" s="1">
        <v>3.6788509903592659</v>
      </c>
      <c r="M14" s="1">
        <v>11.813552984090528</v>
      </c>
      <c r="O14" s="22" t="s">
        <v>262</v>
      </c>
      <c r="P14" s="22" t="s">
        <v>54</v>
      </c>
      <c r="Q14" s="20">
        <f t="shared" si="3"/>
        <v>67.699137365686298</v>
      </c>
      <c r="R14" s="13">
        <f t="shared" si="4"/>
        <v>759.8733233979134</v>
      </c>
      <c r="S14" s="17">
        <f t="shared" si="5"/>
        <v>2.7592029999999999</v>
      </c>
      <c r="T14" s="17">
        <f t="shared" si="6"/>
        <v>4.8196370000000002</v>
      </c>
      <c r="U14" s="17">
        <f t="shared" si="7"/>
        <v>6.85</v>
      </c>
      <c r="V14" s="17">
        <f t="shared" si="8"/>
        <v>18.3125678</v>
      </c>
      <c r="W14" s="1">
        <f t="shared" si="9"/>
        <v>339.62743814539783</v>
      </c>
      <c r="X14" s="1">
        <f t="shared" si="10"/>
        <v>204.415300078737</v>
      </c>
      <c r="Y14" s="1">
        <f t="shared" si="11"/>
        <v>98.423628163068187</v>
      </c>
      <c r="Z14" s="1">
        <f t="shared" si="12"/>
        <v>36.788509903592661</v>
      </c>
      <c r="AA14" s="1">
        <f t="shared" si="13"/>
        <v>118.13552984090528</v>
      </c>
      <c r="AB14" s="38">
        <f t="shared" ref="AB14" si="40">AVERAGE(Q14:Q15)</f>
        <v>67.849568682843142</v>
      </c>
      <c r="AC14" s="38">
        <f t="shared" ref="AC14" si="41">AVERAGE(R14:R15)</f>
        <v>762.28960287542736</v>
      </c>
      <c r="AD14" s="38">
        <f t="shared" ref="AD14" si="42">AVERAGE(S14:S15)</f>
        <v>3.2796015000000001</v>
      </c>
      <c r="AE14" s="38">
        <f t="shared" ref="AE14" si="43">AVERAGE(T14:T15)</f>
        <v>5.1598185000000001</v>
      </c>
      <c r="AF14" s="38">
        <f t="shared" ref="AF14" si="44">AVERAGE(U14:U15)</f>
        <v>6.6849999999999996</v>
      </c>
      <c r="AG14" s="38">
        <f t="shared" ref="AG14" si="45">AVERAGE(V14:V15)</f>
        <v>17.73260015</v>
      </c>
      <c r="AH14" s="40">
        <f>STDEV(Q14:Q15)</f>
        <v>0.21274200892886744</v>
      </c>
      <c r="AI14" s="39">
        <f t="shared" ref="AI14:AR14" si="46">STDEV(R14:R15)</f>
        <v>3.4171352075840287</v>
      </c>
      <c r="AJ14" s="39">
        <f t="shared" si="46"/>
        <v>0.73595461653861283</v>
      </c>
      <c r="AK14" s="39">
        <f t="shared" si="46"/>
        <v>0.4810892909684229</v>
      </c>
      <c r="AL14" s="39">
        <f t="shared" si="46"/>
        <v>0.23334523779156074</v>
      </c>
      <c r="AM14" s="39">
        <f t="shared" si="46"/>
        <v>0.82019811636765294</v>
      </c>
      <c r="AN14" s="39">
        <f t="shared" si="46"/>
        <v>24.304041103994305</v>
      </c>
      <c r="AO14" s="39">
        <f t="shared" si="46"/>
        <v>9.7218305810242356</v>
      </c>
      <c r="AP14" s="39">
        <f t="shared" si="46"/>
        <v>14.962137101898314</v>
      </c>
      <c r="AQ14" s="39">
        <f t="shared" si="46"/>
        <v>0.37992657892825038</v>
      </c>
      <c r="AR14" s="39">
        <f t="shared" si="46"/>
        <v>26.98234285930473</v>
      </c>
    </row>
    <row r="15" spans="1:44" s="1" customFormat="1" x14ac:dyDescent="0.3">
      <c r="A15" s="22" t="s">
        <v>262</v>
      </c>
      <c r="B15" s="22" t="s">
        <v>54</v>
      </c>
      <c r="C15" s="22">
        <v>6.8</v>
      </c>
      <c r="D15" s="28">
        <f>5.2/C15*100</f>
        <v>76.47058823529413</v>
      </c>
      <c r="E15" s="22">
        <v>3.8</v>
      </c>
      <c r="F15" s="22">
        <v>5.5</v>
      </c>
      <c r="G15" s="27">
        <v>6.52</v>
      </c>
      <c r="H15">
        <v>17.152632499999999</v>
      </c>
      <c r="I15" s="1">
        <f>SUM(J15:L15)</f>
        <v>37.399854269513973</v>
      </c>
      <c r="J15" s="1">
        <v>21.816404473751497</v>
      </c>
      <c r="K15" s="1">
        <v>11.958328537465846</v>
      </c>
      <c r="L15" s="1">
        <v>3.6251212582966317</v>
      </c>
      <c r="M15" s="22">
        <v>7.9976734624675796</v>
      </c>
      <c r="O15" s="22" t="s">
        <v>262</v>
      </c>
      <c r="P15" s="22" t="s">
        <v>54</v>
      </c>
      <c r="Q15" s="20">
        <f t="shared" si="3"/>
        <v>68</v>
      </c>
      <c r="R15" s="13">
        <f t="shared" si="4"/>
        <v>764.70588235294133</v>
      </c>
      <c r="S15" s="17">
        <v>3.8</v>
      </c>
      <c r="T15" s="17">
        <v>5.5</v>
      </c>
      <c r="U15" s="17">
        <f t="shared" si="7"/>
        <v>6.52</v>
      </c>
      <c r="V15" s="17">
        <f t="shared" si="8"/>
        <v>17.152632499999999</v>
      </c>
      <c r="W15" s="1">
        <f t="shared" si="9"/>
        <v>373.99854269513975</v>
      </c>
      <c r="X15" s="1">
        <f t="shared" si="10"/>
        <v>218.16404473751498</v>
      </c>
      <c r="Y15" s="1">
        <f t="shared" si="11"/>
        <v>119.58328537465846</v>
      </c>
      <c r="Z15" s="1">
        <f t="shared" si="12"/>
        <v>36.251212582966318</v>
      </c>
      <c r="AA15" s="1">
        <f t="shared" si="13"/>
        <v>79.9767346246758</v>
      </c>
      <c r="AB15" s="38"/>
      <c r="AC15" s="38"/>
      <c r="AD15" s="38"/>
      <c r="AE15" s="38"/>
      <c r="AF15" s="38"/>
      <c r="AG15" s="38"/>
      <c r="AH15" s="40"/>
      <c r="AI15" s="39"/>
      <c r="AJ15" s="39"/>
      <c r="AK15" s="39"/>
      <c r="AL15" s="39"/>
      <c r="AM15" s="39"/>
      <c r="AN15" s="39"/>
      <c r="AO15" s="39"/>
      <c r="AP15" s="39"/>
      <c r="AQ15" s="39"/>
      <c r="AR15" s="39"/>
    </row>
    <row r="16" spans="1:44" s="1" customFormat="1" x14ac:dyDescent="0.3">
      <c r="A16" s="22" t="s">
        <v>262</v>
      </c>
      <c r="B16" s="22" t="s">
        <v>61</v>
      </c>
      <c r="C16" s="22">
        <v>6.5769928065968797</v>
      </c>
      <c r="D16" s="22">
        <v>75.066690378801241</v>
      </c>
      <c r="E16" s="22">
        <v>2.6968860000000001</v>
      </c>
      <c r="F16" s="22">
        <v>4.7141260000000003</v>
      </c>
      <c r="G16" s="25">
        <v>6.85</v>
      </c>
      <c r="H16" s="22">
        <v>17.463981700000001</v>
      </c>
      <c r="I16" s="1">
        <v>34.939959712943278</v>
      </c>
      <c r="J16" s="1">
        <v>20.148326723377444</v>
      </c>
      <c r="K16" s="1">
        <v>11.042408438338635</v>
      </c>
      <c r="L16" s="1">
        <v>3.7492245512271976</v>
      </c>
      <c r="M16" s="1">
        <v>12.172507100916432</v>
      </c>
      <c r="O16" s="22" t="s">
        <v>262</v>
      </c>
      <c r="P16" s="22" t="s">
        <v>61</v>
      </c>
      <c r="Q16" s="20">
        <f t="shared" si="3"/>
        <v>65.769928065968799</v>
      </c>
      <c r="R16" s="13">
        <f t="shared" si="4"/>
        <v>750.66690378801241</v>
      </c>
      <c r="S16" s="17">
        <f t="shared" si="5"/>
        <v>2.6968860000000001</v>
      </c>
      <c r="T16" s="17">
        <f t="shared" si="6"/>
        <v>4.7141260000000003</v>
      </c>
      <c r="U16" s="17">
        <f t="shared" si="7"/>
        <v>6.85</v>
      </c>
      <c r="V16" s="17">
        <f t="shared" si="8"/>
        <v>17.463981700000001</v>
      </c>
      <c r="W16" s="1">
        <f t="shared" si="9"/>
        <v>349.39959712943278</v>
      </c>
      <c r="X16" s="1">
        <f t="shared" si="10"/>
        <v>201.48326723377443</v>
      </c>
      <c r="Y16" s="1">
        <f t="shared" si="11"/>
        <v>110.42408438338634</v>
      </c>
      <c r="Z16" s="1">
        <f t="shared" si="12"/>
        <v>37.492245512271978</v>
      </c>
      <c r="AA16" s="1">
        <f t="shared" si="13"/>
        <v>121.72507100916432</v>
      </c>
      <c r="AB16" s="38">
        <f t="shared" ref="AB16" si="47">AVERAGE(Q16:Q17)</f>
        <v>67.384964032984399</v>
      </c>
      <c r="AC16" s="38">
        <f t="shared" ref="AC16" si="48">AVERAGE(R16:R17)</f>
        <v>759.39142290849895</v>
      </c>
      <c r="AD16" s="38">
        <f t="shared" ref="AD16" si="49">AVERAGE(S16:S17)</f>
        <v>3.0484429999999998</v>
      </c>
      <c r="AE16" s="38">
        <f t="shared" ref="AE16" si="50">AVERAGE(T16:T17)</f>
        <v>5.0070630000000005</v>
      </c>
      <c r="AF16" s="38">
        <f t="shared" ref="AF16" si="51">AVERAGE(U16:U17)</f>
        <v>6.6099999999999994</v>
      </c>
      <c r="AG16" s="38">
        <f t="shared" ref="AG16" si="52">AVERAGE(V16:V17)</f>
        <v>17.609490700000002</v>
      </c>
      <c r="AH16" s="40">
        <f>STDEV(Q16:Q17)</f>
        <v>2.2840057682738091</v>
      </c>
      <c r="AI16" s="39">
        <f t="shared" ref="AI16:AR16" si="53">STDEV(R16:R17)</f>
        <v>12.338333265375462</v>
      </c>
      <c r="AJ16" s="39">
        <f t="shared" si="53"/>
        <v>0.49717667734720089</v>
      </c>
      <c r="AK16" s="39">
        <f t="shared" si="53"/>
        <v>0.41427547832088701</v>
      </c>
      <c r="AL16" s="39">
        <f t="shared" si="53"/>
        <v>0.3394112549695425</v>
      </c>
      <c r="AM16" s="39">
        <f t="shared" si="53"/>
        <v>0.20578080124734496</v>
      </c>
      <c r="AN16" s="39">
        <f t="shared" si="53"/>
        <v>19.598536629211697</v>
      </c>
      <c r="AO16" s="39">
        <f t="shared" si="53"/>
        <v>6.72005216563144</v>
      </c>
      <c r="AP16" s="39">
        <f t="shared" si="53"/>
        <v>10.896572776436576</v>
      </c>
      <c r="AQ16" s="39">
        <f t="shared" si="53"/>
        <v>1.9819116871436602</v>
      </c>
      <c r="AR16" s="39">
        <f t="shared" si="53"/>
        <v>29.462720820092898</v>
      </c>
    </row>
    <row r="17" spans="1:44" s="1" customFormat="1" x14ac:dyDescent="0.3">
      <c r="A17" s="22" t="s">
        <v>262</v>
      </c>
      <c r="B17" s="22" t="s">
        <v>61</v>
      </c>
      <c r="C17" s="22">
        <v>6.9</v>
      </c>
      <c r="D17" s="28">
        <f>5.3/C17*100</f>
        <v>76.811594202898547</v>
      </c>
      <c r="E17" s="22">
        <v>3.4</v>
      </c>
      <c r="F17" s="22">
        <v>5.3</v>
      </c>
      <c r="G17" s="27">
        <v>6.37</v>
      </c>
      <c r="H17">
        <v>17.754999699999999</v>
      </c>
      <c r="I17" s="1">
        <f>SUM(J17:L17)</f>
        <v>32.168308082573574</v>
      </c>
      <c r="J17" s="1">
        <v>19.197967832128377</v>
      </c>
      <c r="K17" s="1">
        <v>9.5014003379564294</v>
      </c>
      <c r="L17" s="1">
        <v>3.468939912488767</v>
      </c>
      <c r="M17" s="22">
        <v>8.0058491640976808</v>
      </c>
      <c r="O17" s="22" t="s">
        <v>262</v>
      </c>
      <c r="P17" s="22" t="s">
        <v>61</v>
      </c>
      <c r="Q17" s="20">
        <f t="shared" si="3"/>
        <v>69</v>
      </c>
      <c r="R17" s="13">
        <f t="shared" si="4"/>
        <v>768.1159420289855</v>
      </c>
      <c r="S17" s="17">
        <v>3.4</v>
      </c>
      <c r="T17" s="17">
        <v>5.3</v>
      </c>
      <c r="U17" s="17">
        <f t="shared" si="7"/>
        <v>6.37</v>
      </c>
      <c r="V17" s="17">
        <f t="shared" si="8"/>
        <v>17.754999699999999</v>
      </c>
      <c r="W17" s="1">
        <f t="shared" si="9"/>
        <v>321.68308082573571</v>
      </c>
      <c r="X17" s="1">
        <f t="shared" si="10"/>
        <v>191.97967832128376</v>
      </c>
      <c r="Y17" s="1">
        <f t="shared" si="11"/>
        <v>95.014003379564286</v>
      </c>
      <c r="Z17" s="1">
        <f t="shared" si="12"/>
        <v>34.689399124887672</v>
      </c>
      <c r="AA17" s="1">
        <f t="shared" si="13"/>
        <v>80.058491640976811</v>
      </c>
      <c r="AB17" s="38"/>
      <c r="AC17" s="38"/>
      <c r="AD17" s="38"/>
      <c r="AE17" s="38"/>
      <c r="AF17" s="38"/>
      <c r="AG17" s="38"/>
      <c r="AH17" s="40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1:44" s="1" customFormat="1" x14ac:dyDescent="0.3">
      <c r="A18" s="21" t="s">
        <v>269</v>
      </c>
      <c r="B18" s="22" t="s">
        <v>305</v>
      </c>
      <c r="C18" s="20">
        <v>19.372872094489512</v>
      </c>
      <c r="D18" s="20">
        <v>85.853764374050769</v>
      </c>
      <c r="E18" s="23">
        <v>1.8626309662398137</v>
      </c>
      <c r="F18" s="23">
        <v>9.1467760432766614</v>
      </c>
      <c r="G18" s="22">
        <v>6.35</v>
      </c>
      <c r="H18" s="22"/>
      <c r="I18" s="22"/>
      <c r="J18" s="22"/>
      <c r="K18" s="22"/>
      <c r="L18" s="22"/>
      <c r="M18" s="22"/>
      <c r="O18" s="21" t="s">
        <v>269</v>
      </c>
      <c r="P18" s="22" t="s">
        <v>305</v>
      </c>
      <c r="Q18" s="20">
        <f t="shared" si="3"/>
        <v>193.72872094489512</v>
      </c>
      <c r="R18" s="1">
        <f t="shared" si="4"/>
        <v>858.53764374050775</v>
      </c>
      <c r="S18" s="17">
        <f t="shared" si="5"/>
        <v>1.8626309662398137</v>
      </c>
      <c r="T18" s="17">
        <f t="shared" si="6"/>
        <v>9.1467760432766614</v>
      </c>
      <c r="U18" s="17">
        <f t="shared" si="7"/>
        <v>6.35</v>
      </c>
      <c r="V18" s="17">
        <f t="shared" si="8"/>
        <v>0</v>
      </c>
      <c r="W18" s="1">
        <f t="shared" si="9"/>
        <v>0</v>
      </c>
      <c r="X18" s="1">
        <f t="shared" si="10"/>
        <v>0</v>
      </c>
      <c r="Y18" s="1">
        <f t="shared" si="11"/>
        <v>0</v>
      </c>
      <c r="Z18" s="1">
        <f t="shared" si="12"/>
        <v>0</v>
      </c>
      <c r="AA18" s="1">
        <f t="shared" si="13"/>
        <v>0</v>
      </c>
      <c r="AB18" s="37">
        <f t="shared" ref="AB18" si="54">AVERAGE(Q18:Q19)</f>
        <v>202.8199742939664</v>
      </c>
      <c r="AC18" s="37">
        <f t="shared" ref="AC18" si="55">AVERAGE(R18:R19)</f>
        <v>861.4385081274346</v>
      </c>
      <c r="AD18" s="37">
        <f t="shared" ref="AD18" si="56">AVERAGE(S18:S19)</f>
        <v>1.659470822925732</v>
      </c>
      <c r="AE18" s="37">
        <f t="shared" ref="AE18" si="57">AVERAGE(T18:T19)</f>
        <v>8.6609146268512998</v>
      </c>
      <c r="AF18" s="37">
        <f t="shared" ref="AF18" si="58">AVERAGE(U18:U19)</f>
        <v>6.3550000000000004</v>
      </c>
      <c r="AG18" s="37">
        <f t="shared" ref="AG18" si="59">AVERAGE(V18:V19)</f>
        <v>0</v>
      </c>
      <c r="AH18" s="39">
        <f>STDEV(Q18:Q19)</f>
        <v>12.856973785226426</v>
      </c>
      <c r="AI18" s="39">
        <f t="shared" ref="AI18:AR18" si="60">STDEV(R18:R19)</f>
        <v>4.1024417585970721</v>
      </c>
      <c r="AJ18" s="39">
        <f t="shared" si="60"/>
        <v>0.28731183000843563</v>
      </c>
      <c r="AK18" s="39">
        <f t="shared" si="60"/>
        <v>0.6871118045425485</v>
      </c>
      <c r="AL18" s="39">
        <f t="shared" si="60"/>
        <v>7.0710678118659524E-3</v>
      </c>
      <c r="AM18" s="39">
        <f t="shared" si="60"/>
        <v>0</v>
      </c>
      <c r="AN18" s="39">
        <f t="shared" si="60"/>
        <v>0</v>
      </c>
      <c r="AO18" s="39">
        <f t="shared" si="60"/>
        <v>0</v>
      </c>
      <c r="AP18" s="39">
        <f t="shared" si="60"/>
        <v>0</v>
      </c>
      <c r="AQ18" s="39">
        <f t="shared" si="60"/>
        <v>0</v>
      </c>
      <c r="AR18" s="39">
        <f t="shared" si="60"/>
        <v>0</v>
      </c>
    </row>
    <row r="19" spans="1:44" s="1" customFormat="1" x14ac:dyDescent="0.3">
      <c r="A19" s="21" t="s">
        <v>269</v>
      </c>
      <c r="B19" s="22" t="s">
        <v>305</v>
      </c>
      <c r="C19" s="20">
        <v>21.191122764303767</v>
      </c>
      <c r="D19" s="20">
        <v>86.433937251436149</v>
      </c>
      <c r="E19" s="23">
        <v>1.4563106796116503</v>
      </c>
      <c r="F19" s="23">
        <v>8.1750532104259381</v>
      </c>
      <c r="G19" s="22">
        <v>6.36</v>
      </c>
      <c r="H19" s="22"/>
      <c r="I19" s="22"/>
      <c r="J19" s="22"/>
      <c r="K19" s="22"/>
      <c r="L19" s="22"/>
      <c r="M19" s="22"/>
      <c r="O19" s="21" t="s">
        <v>269</v>
      </c>
      <c r="P19" s="22" t="s">
        <v>305</v>
      </c>
      <c r="Q19" s="20">
        <f t="shared" si="3"/>
        <v>211.91122764303768</v>
      </c>
      <c r="R19" s="1">
        <f t="shared" si="4"/>
        <v>864.33937251436146</v>
      </c>
      <c r="S19" s="17">
        <f t="shared" si="5"/>
        <v>1.4563106796116503</v>
      </c>
      <c r="T19" s="17">
        <f t="shared" si="6"/>
        <v>8.1750532104259381</v>
      </c>
      <c r="U19" s="17">
        <f t="shared" si="7"/>
        <v>6.36</v>
      </c>
      <c r="V19" s="17">
        <f t="shared" si="8"/>
        <v>0</v>
      </c>
      <c r="W19" s="1">
        <f t="shared" si="9"/>
        <v>0</v>
      </c>
      <c r="X19" s="1">
        <f t="shared" si="10"/>
        <v>0</v>
      </c>
      <c r="Y19" s="1">
        <f t="shared" si="11"/>
        <v>0</v>
      </c>
      <c r="Z19" s="1">
        <f t="shared" si="12"/>
        <v>0</v>
      </c>
      <c r="AA19" s="1">
        <f t="shared" si="13"/>
        <v>0</v>
      </c>
      <c r="AB19" s="37"/>
      <c r="AC19" s="37"/>
      <c r="AD19" s="37"/>
      <c r="AE19" s="37"/>
      <c r="AF19" s="37"/>
      <c r="AG19" s="37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s="1" customFormat="1" x14ac:dyDescent="0.3">
      <c r="A20" s="21" t="s">
        <v>269</v>
      </c>
      <c r="B20" s="22" t="s">
        <v>306</v>
      </c>
      <c r="C20" s="20">
        <v>1.7939040703229512</v>
      </c>
      <c r="D20" s="20">
        <v>53.794940079893564</v>
      </c>
      <c r="E20" s="23">
        <v>0.127</v>
      </c>
      <c r="F20" s="23">
        <v>3.9197767894736848</v>
      </c>
      <c r="G20" s="22">
        <v>7.69</v>
      </c>
      <c r="H20" s="22"/>
      <c r="I20" s="22"/>
      <c r="J20" s="22"/>
      <c r="K20" s="22"/>
      <c r="L20" s="22"/>
      <c r="M20" s="22"/>
      <c r="O20" s="21" t="s">
        <v>269</v>
      </c>
      <c r="P20" s="22" t="s">
        <v>306</v>
      </c>
      <c r="Q20" s="20">
        <f t="shared" si="3"/>
        <v>17.939040703229512</v>
      </c>
      <c r="R20" s="1">
        <f t="shared" si="4"/>
        <v>537.94940079893559</v>
      </c>
      <c r="S20" s="17">
        <f t="shared" si="5"/>
        <v>0.127</v>
      </c>
      <c r="T20" s="17">
        <f t="shared" si="6"/>
        <v>3.9197767894736848</v>
      </c>
      <c r="U20" s="17">
        <f t="shared" si="7"/>
        <v>7.69</v>
      </c>
      <c r="V20" s="17">
        <f t="shared" si="8"/>
        <v>0</v>
      </c>
      <c r="W20" s="1">
        <f t="shared" si="9"/>
        <v>0</v>
      </c>
      <c r="X20" s="1">
        <f t="shared" si="10"/>
        <v>0</v>
      </c>
      <c r="Y20" s="1">
        <f t="shared" si="11"/>
        <v>0</v>
      </c>
      <c r="Z20" s="1">
        <f t="shared" si="12"/>
        <v>0</v>
      </c>
      <c r="AA20" s="1">
        <f t="shared" si="13"/>
        <v>0</v>
      </c>
      <c r="AB20" s="37">
        <f t="shared" ref="AB20" si="61">AVERAGE(Q20:Q21)</f>
        <v>18.310971610387096</v>
      </c>
      <c r="AC20" s="37">
        <f t="shared" ref="AC20" si="62">AVERAGE(R20:R21)</f>
        <v>546.5522058068218</v>
      </c>
      <c r="AD20" s="37">
        <f t="shared" ref="AD20" si="63">AVERAGE(S20:S21)</f>
        <v>0.13</v>
      </c>
      <c r="AE20" s="37">
        <f t="shared" ref="AE20" si="64">AVERAGE(T20:T21)</f>
        <v>3.9116777706655199</v>
      </c>
      <c r="AF20" s="37">
        <f t="shared" ref="AF20" si="65">AVERAGE(U20:U21)</f>
        <v>7.665</v>
      </c>
      <c r="AG20" s="37">
        <f t="shared" ref="AG20" si="66">AVERAGE(V20:V21)</f>
        <v>0</v>
      </c>
      <c r="AH20" s="39">
        <f>STDEV(Q20:Q21)</f>
        <v>0.52598973316798314</v>
      </c>
      <c r="AI20" s="39">
        <f t="shared" ref="AI20:AR20" si="67">STDEV(R20:R21)</f>
        <v>12.16620351660379</v>
      </c>
      <c r="AJ20" s="39">
        <f t="shared" si="67"/>
        <v>4.2426406871192892E-3</v>
      </c>
      <c r="AK20" s="39">
        <f t="shared" si="67"/>
        <v>1.1453742240421555E-2</v>
      </c>
      <c r="AL20" s="39">
        <f t="shared" si="67"/>
        <v>3.5355339059327882E-2</v>
      </c>
      <c r="AM20" s="39">
        <f t="shared" si="67"/>
        <v>0</v>
      </c>
      <c r="AN20" s="39">
        <f t="shared" si="67"/>
        <v>0</v>
      </c>
      <c r="AO20" s="39">
        <f t="shared" si="67"/>
        <v>0</v>
      </c>
      <c r="AP20" s="39">
        <f t="shared" si="67"/>
        <v>0</v>
      </c>
      <c r="AQ20" s="39">
        <f t="shared" si="67"/>
        <v>0</v>
      </c>
      <c r="AR20" s="39">
        <f t="shared" si="67"/>
        <v>0</v>
      </c>
    </row>
    <row r="21" spans="1:44" s="1" customFormat="1" x14ac:dyDescent="0.3">
      <c r="A21" s="21" t="s">
        <v>269</v>
      </c>
      <c r="B21" s="22" t="s">
        <v>306</v>
      </c>
      <c r="C21" s="20">
        <v>1.8682902517544679</v>
      </c>
      <c r="D21" s="20">
        <v>55.515501081470788</v>
      </c>
      <c r="E21" s="23">
        <v>0.13300000000000001</v>
      </c>
      <c r="F21" s="23">
        <v>3.903578751857355</v>
      </c>
      <c r="G21" s="22">
        <v>7.64</v>
      </c>
      <c r="H21" s="22"/>
      <c r="I21" s="22"/>
      <c r="J21" s="22"/>
      <c r="K21" s="22"/>
      <c r="L21" s="22"/>
      <c r="M21" s="22"/>
      <c r="O21" s="21" t="s">
        <v>269</v>
      </c>
      <c r="P21" s="22" t="s">
        <v>306</v>
      </c>
      <c r="Q21" s="20">
        <f t="shared" si="3"/>
        <v>18.682902517544679</v>
      </c>
      <c r="R21" s="1">
        <f t="shared" si="4"/>
        <v>555.15501081470791</v>
      </c>
      <c r="S21" s="17">
        <f t="shared" si="5"/>
        <v>0.13300000000000001</v>
      </c>
      <c r="T21" s="17">
        <f t="shared" si="6"/>
        <v>3.903578751857355</v>
      </c>
      <c r="U21" s="17">
        <f t="shared" si="7"/>
        <v>7.64</v>
      </c>
      <c r="V21" s="17">
        <f t="shared" si="8"/>
        <v>0</v>
      </c>
      <c r="W21" s="1">
        <f t="shared" si="9"/>
        <v>0</v>
      </c>
      <c r="X21" s="1">
        <f t="shared" si="10"/>
        <v>0</v>
      </c>
      <c r="Y21" s="1">
        <f t="shared" si="11"/>
        <v>0</v>
      </c>
      <c r="Z21" s="1">
        <f t="shared" si="12"/>
        <v>0</v>
      </c>
      <c r="AA21" s="1">
        <f t="shared" si="13"/>
        <v>0</v>
      </c>
      <c r="AB21" s="37"/>
      <c r="AC21" s="37"/>
      <c r="AD21" s="37"/>
      <c r="AE21" s="37"/>
      <c r="AF21" s="37"/>
      <c r="AG21" s="37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s="1" customFormat="1" x14ac:dyDescent="0.3">
      <c r="A22" s="21" t="s">
        <v>269</v>
      </c>
      <c r="B22" s="21" t="s">
        <v>61</v>
      </c>
      <c r="C22" s="22">
        <v>8.1327491376899399</v>
      </c>
      <c r="D22" s="21">
        <v>74.816597890875741</v>
      </c>
      <c r="E22" s="21">
        <v>4.9837486457204765</v>
      </c>
      <c r="F22" s="24">
        <v>6.6417722370528569</v>
      </c>
      <c r="G22" s="21">
        <v>7.13</v>
      </c>
      <c r="H22" s="21">
        <v>17.439430599999998</v>
      </c>
      <c r="I22" s="21">
        <v>34.953238474763118</v>
      </c>
      <c r="J22" s="21">
        <v>20.439623470861431</v>
      </c>
      <c r="K22" s="21">
        <v>10.181738325073958</v>
      </c>
      <c r="L22" s="21">
        <v>4.3318766788277303</v>
      </c>
      <c r="M22" s="21">
        <v>12.797532357238417</v>
      </c>
      <c r="O22" s="21" t="s">
        <v>269</v>
      </c>
      <c r="P22" s="21" t="s">
        <v>61</v>
      </c>
      <c r="Q22" s="20">
        <f t="shared" si="3"/>
        <v>81.327491376899403</v>
      </c>
      <c r="R22" s="1">
        <f t="shared" si="4"/>
        <v>748.16597890875744</v>
      </c>
      <c r="S22" s="17">
        <f t="shared" si="5"/>
        <v>4.9837486457204765</v>
      </c>
      <c r="T22" s="17">
        <f t="shared" si="6"/>
        <v>6.6417722370528569</v>
      </c>
      <c r="U22" s="17">
        <f t="shared" si="7"/>
        <v>7.13</v>
      </c>
      <c r="V22" s="17">
        <f t="shared" si="8"/>
        <v>17.439430599999998</v>
      </c>
      <c r="W22" s="1">
        <f t="shared" si="9"/>
        <v>349.53238474763117</v>
      </c>
      <c r="X22" s="1">
        <f t="shared" si="10"/>
        <v>204.39623470861432</v>
      </c>
      <c r="Y22" s="1">
        <f t="shared" si="11"/>
        <v>101.81738325073958</v>
      </c>
      <c r="Z22" s="1">
        <f t="shared" si="12"/>
        <v>43.318766788277301</v>
      </c>
      <c r="AA22" s="1">
        <f t="shared" si="13"/>
        <v>127.97532357238417</v>
      </c>
      <c r="AB22" s="38">
        <f t="shared" ref="AB22" si="68">AVERAGE(Q22:Q23)</f>
        <v>79.856734768663927</v>
      </c>
      <c r="AC22" s="38">
        <f t="shared" ref="AC22" si="69">AVERAGE(R22:R23)</f>
        <v>746.37352057365877</v>
      </c>
      <c r="AD22" s="38">
        <f t="shared" ref="AD22" si="70">AVERAGE(S22:S23)</f>
        <v>4.9658326561935713</v>
      </c>
      <c r="AE22" s="38">
        <f t="shared" ref="AE22" si="71">AVERAGE(T22:T23)</f>
        <v>6.6647423978385696</v>
      </c>
      <c r="AF22" s="38">
        <f t="shared" ref="AF22" si="72">AVERAGE(U22:U23)</f>
        <v>7.125</v>
      </c>
      <c r="AG22" s="38">
        <f t="shared" ref="AG22" si="73">AVERAGE(V22:V23)</f>
        <v>17.00038825</v>
      </c>
      <c r="AH22" s="40">
        <f>STDEV(Q22:Q23)</f>
        <v>2.0799639423164531</v>
      </c>
      <c r="AI22" s="39">
        <f t="shared" ref="AI22:AR22" si="74">STDEV(R22:R23)</f>
        <v>2.5349188874852402</v>
      </c>
      <c r="AJ22" s="39">
        <f t="shared" si="74"/>
        <v>2.5337035372283045E-2</v>
      </c>
      <c r="AK22" s="39">
        <f t="shared" si="74"/>
        <v>3.2484712913046131E-2</v>
      </c>
      <c r="AL22" s="39">
        <f t="shared" si="74"/>
        <v>7.0710678118653244E-3</v>
      </c>
      <c r="AM22" s="39">
        <f t="shared" si="74"/>
        <v>0.62089964582615431</v>
      </c>
      <c r="AN22" s="39">
        <f t="shared" si="74"/>
        <v>19.796259675851044</v>
      </c>
      <c r="AO22" s="39">
        <f t="shared" si="74"/>
        <v>14.428049768774748</v>
      </c>
      <c r="AP22" s="39">
        <f t="shared" si="74"/>
        <v>4.376881777282966</v>
      </c>
      <c r="AQ22" s="39">
        <f t="shared" si="74"/>
        <v>0.99132812979328877</v>
      </c>
      <c r="AR22" s="39">
        <f t="shared" si="74"/>
        <v>1.786138847783223</v>
      </c>
    </row>
    <row r="23" spans="1:44" s="1" customFormat="1" x14ac:dyDescent="0.3">
      <c r="A23" s="21" t="s">
        <v>269</v>
      </c>
      <c r="B23" s="21" t="s">
        <v>61</v>
      </c>
      <c r="C23" s="22">
        <v>7.8385978160428467</v>
      </c>
      <c r="D23" s="21">
        <v>74.458106223856007</v>
      </c>
      <c r="E23" s="21">
        <v>4.947916666666667</v>
      </c>
      <c r="F23" s="24">
        <v>6.6877125586242832</v>
      </c>
      <c r="G23" s="21">
        <v>7.12</v>
      </c>
      <c r="H23" s="21">
        <v>16.561345899999999</v>
      </c>
      <c r="I23" s="21">
        <v>37.752852366547934</v>
      </c>
      <c r="J23" s="21">
        <v>22.480057837020958</v>
      </c>
      <c r="K23" s="21">
        <v>10.800722882107681</v>
      </c>
      <c r="L23" s="21">
        <v>4.472071647419293</v>
      </c>
      <c r="M23" s="21">
        <v>13.050130535520065</v>
      </c>
      <c r="O23" s="21" t="s">
        <v>269</v>
      </c>
      <c r="P23" s="21" t="s">
        <v>61</v>
      </c>
      <c r="Q23" s="20">
        <f t="shared" si="3"/>
        <v>78.385978160428465</v>
      </c>
      <c r="R23" s="1">
        <f t="shared" si="4"/>
        <v>744.58106223856009</v>
      </c>
      <c r="S23" s="17">
        <f t="shared" si="5"/>
        <v>4.947916666666667</v>
      </c>
      <c r="T23" s="17">
        <f t="shared" si="6"/>
        <v>6.6877125586242832</v>
      </c>
      <c r="U23" s="17">
        <f t="shared" si="7"/>
        <v>7.12</v>
      </c>
      <c r="V23" s="17">
        <f t="shared" si="8"/>
        <v>16.561345899999999</v>
      </c>
      <c r="W23" s="1">
        <f t="shared" si="9"/>
        <v>377.52852366547933</v>
      </c>
      <c r="X23" s="1">
        <f t="shared" si="10"/>
        <v>224.80057837020956</v>
      </c>
      <c r="Y23" s="1">
        <f t="shared" si="11"/>
        <v>108.00722882107681</v>
      </c>
      <c r="Z23" s="1">
        <f t="shared" si="12"/>
        <v>44.720716474192926</v>
      </c>
      <c r="AA23" s="1">
        <f t="shared" si="13"/>
        <v>130.50130535520066</v>
      </c>
      <c r="AB23" s="38"/>
      <c r="AC23" s="38"/>
      <c r="AD23" s="38"/>
      <c r="AE23" s="38"/>
      <c r="AF23" s="38"/>
      <c r="AG23" s="38"/>
      <c r="AH23" s="40"/>
      <c r="AI23" s="39"/>
      <c r="AJ23" s="39"/>
      <c r="AK23" s="39"/>
      <c r="AL23" s="39"/>
      <c r="AM23" s="39"/>
      <c r="AN23" s="39"/>
      <c r="AO23" s="39"/>
      <c r="AP23" s="39"/>
      <c r="AQ23" s="39"/>
      <c r="AR23" s="39"/>
    </row>
    <row r="24" spans="1:44" s="1" customFormat="1" x14ac:dyDescent="0.3">
      <c r="A24" s="21" t="s">
        <v>283</v>
      </c>
      <c r="B24" s="22" t="s">
        <v>305</v>
      </c>
      <c r="C24" s="20">
        <v>19.240109089550565</v>
      </c>
      <c r="D24" s="20">
        <v>81.398058252427191</v>
      </c>
      <c r="E24" s="23">
        <v>0.99304865938430997</v>
      </c>
      <c r="F24" s="23">
        <v>7.8257350746268655</v>
      </c>
      <c r="G24" s="22">
        <v>6.99</v>
      </c>
      <c r="H24" s="21">
        <v>12.249594999999999</v>
      </c>
      <c r="I24" s="24">
        <f>SUM(J24:L24)</f>
        <v>43.408059660231267</v>
      </c>
      <c r="J24" s="26">
        <v>25.782078132275409</v>
      </c>
      <c r="K24" s="26">
        <v>13.37497860995799</v>
      </c>
      <c r="L24" s="26">
        <v>4.2510029179978677</v>
      </c>
      <c r="M24" s="21">
        <v>13.131037344862014</v>
      </c>
      <c r="O24" s="21" t="s">
        <v>283</v>
      </c>
      <c r="P24" s="22" t="s">
        <v>305</v>
      </c>
      <c r="Q24" s="20">
        <f t="shared" si="3"/>
        <v>192.40109089550566</v>
      </c>
      <c r="R24" s="1">
        <f t="shared" si="4"/>
        <v>813.98058252427188</v>
      </c>
      <c r="S24" s="17">
        <f t="shared" si="5"/>
        <v>0.99304865938430997</v>
      </c>
      <c r="T24" s="17">
        <f t="shared" si="6"/>
        <v>7.8257350746268655</v>
      </c>
      <c r="U24" s="17">
        <f t="shared" si="7"/>
        <v>6.99</v>
      </c>
      <c r="V24" s="17">
        <f t="shared" si="8"/>
        <v>12.249594999999999</v>
      </c>
      <c r="W24" s="1">
        <f t="shared" si="9"/>
        <v>434.08059660231265</v>
      </c>
      <c r="X24" s="1">
        <f t="shared" si="10"/>
        <v>257.8207813227541</v>
      </c>
      <c r="Y24" s="1">
        <f t="shared" si="11"/>
        <v>133.74978609957989</v>
      </c>
      <c r="Z24" s="1">
        <f t="shared" si="12"/>
        <v>42.510029179978673</v>
      </c>
      <c r="AA24" s="1">
        <f t="shared" si="13"/>
        <v>131.31037344862014</v>
      </c>
      <c r="AB24" s="37">
        <f t="shared" ref="AB24" si="75">AVERAGE(Q24:Q25)</f>
        <v>186.76440805921996</v>
      </c>
      <c r="AC24" s="37">
        <f t="shared" ref="AC24" si="76">AVERAGE(R24:R25)</f>
        <v>830.80159788886749</v>
      </c>
      <c r="AD24" s="37">
        <f t="shared" ref="AD24" si="77">AVERAGE(S24:S25)</f>
        <v>0.99227503790745253</v>
      </c>
      <c r="AE24" s="37">
        <f t="shared" ref="AE24" si="78">AVERAGE(T24:T25)</f>
        <v>7.6577494191953139</v>
      </c>
      <c r="AF24" s="37">
        <f t="shared" ref="AF24" si="79">AVERAGE(U24:U25)</f>
        <v>6.9399999999999995</v>
      </c>
      <c r="AG24" s="37">
        <f t="shared" ref="AG24" si="80">AVERAGE(V24:V25)</f>
        <v>12.53002395</v>
      </c>
      <c r="AH24" s="39">
        <f>STDEV(Q24:Q25)</f>
        <v>7.9714733138708818</v>
      </c>
      <c r="AI24" s="39">
        <f t="shared" ref="AI24:AR24" si="81">STDEV(R24:R25)</f>
        <v>23.788508061497403</v>
      </c>
      <c r="AJ24" s="39">
        <f t="shared" si="81"/>
        <v>1.0940659847149801E-3</v>
      </c>
      <c r="AK24" s="39">
        <f t="shared" si="81"/>
        <v>0.23756759219543311</v>
      </c>
      <c r="AL24" s="39">
        <f t="shared" si="81"/>
        <v>7.0710678118655126E-2</v>
      </c>
      <c r="AM24" s="39">
        <f t="shared" si="81"/>
        <v>0.39658642437204794</v>
      </c>
      <c r="AN24" s="39">
        <f t="shared" si="81"/>
        <v>24.125607781861117</v>
      </c>
      <c r="AO24" s="39">
        <f t="shared" si="81"/>
        <v>12.031276047234876</v>
      </c>
      <c r="AP24" s="39">
        <f t="shared" si="81"/>
        <v>11.131962721722376</v>
      </c>
      <c r="AQ24" s="39">
        <f t="shared" si="81"/>
        <v>0.96236901290390986</v>
      </c>
      <c r="AR24" s="39">
        <f t="shared" si="81"/>
        <v>4.0388337287561269</v>
      </c>
    </row>
    <row r="25" spans="1:44" s="1" customFormat="1" x14ac:dyDescent="0.3">
      <c r="A25" s="21" t="s">
        <v>283</v>
      </c>
      <c r="B25" s="22" t="s">
        <v>305</v>
      </c>
      <c r="C25" s="20">
        <v>18.112772522293426</v>
      </c>
      <c r="D25" s="20">
        <v>84.762261325346316</v>
      </c>
      <c r="E25" s="23">
        <v>0.99150141643059497</v>
      </c>
      <c r="F25" s="23">
        <v>7.4897637637637633</v>
      </c>
      <c r="G25" s="22">
        <v>6.89</v>
      </c>
      <c r="H25" s="21">
        <v>12.810452900000001</v>
      </c>
      <c r="I25" s="24">
        <f>SUM(J25:L25)</f>
        <v>39.996183487671075</v>
      </c>
      <c r="J25" s="26">
        <v>24.080598756409998</v>
      </c>
      <c r="K25" s="26">
        <v>11.80068134426884</v>
      </c>
      <c r="L25" s="26">
        <v>4.1149033869922356</v>
      </c>
      <c r="M25" s="21">
        <v>12.559860001324333</v>
      </c>
      <c r="O25" s="21" t="s">
        <v>283</v>
      </c>
      <c r="P25" s="22" t="s">
        <v>305</v>
      </c>
      <c r="Q25" s="20">
        <f t="shared" si="3"/>
        <v>181.12772522293426</v>
      </c>
      <c r="R25" s="1">
        <f t="shared" si="4"/>
        <v>847.62261325346321</v>
      </c>
      <c r="S25" s="17">
        <f t="shared" si="5"/>
        <v>0.99150141643059497</v>
      </c>
      <c r="T25" s="17">
        <f t="shared" si="6"/>
        <v>7.4897637637637633</v>
      </c>
      <c r="U25" s="17">
        <f t="shared" si="7"/>
        <v>6.89</v>
      </c>
      <c r="V25" s="17">
        <f t="shared" si="8"/>
        <v>12.810452900000001</v>
      </c>
      <c r="W25" s="1">
        <f t="shared" si="9"/>
        <v>399.96183487671078</v>
      </c>
      <c r="X25" s="1">
        <f t="shared" si="10"/>
        <v>240.80598756409998</v>
      </c>
      <c r="Y25" s="1">
        <f t="shared" si="11"/>
        <v>118.0068134426884</v>
      </c>
      <c r="Z25" s="1">
        <f t="shared" si="12"/>
        <v>41.149033869922356</v>
      </c>
      <c r="AA25" s="1">
        <f t="shared" si="13"/>
        <v>125.59860001324333</v>
      </c>
      <c r="AB25" s="37"/>
      <c r="AC25" s="37"/>
      <c r="AD25" s="37"/>
      <c r="AE25" s="37"/>
      <c r="AF25" s="37"/>
      <c r="AG25" s="37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</row>
    <row r="26" spans="1:44" s="1" customFormat="1" x14ac:dyDescent="0.3">
      <c r="A26" s="21" t="s">
        <v>283</v>
      </c>
      <c r="B26" s="22" t="s">
        <v>306</v>
      </c>
      <c r="C26" s="20">
        <v>2.9909752264294633</v>
      </c>
      <c r="D26" s="20">
        <v>60.075839653304456</v>
      </c>
      <c r="E26" s="23">
        <v>8.5999999999999993E-2</v>
      </c>
      <c r="F26" s="23">
        <v>5.5528641160949865</v>
      </c>
      <c r="G26" s="22">
        <v>7.22</v>
      </c>
      <c r="H26" s="21">
        <v>0.18469569999999999</v>
      </c>
      <c r="I26" s="21"/>
      <c r="J26" s="21"/>
      <c r="K26" s="21"/>
      <c r="L26" s="21"/>
      <c r="M26" s="21"/>
      <c r="O26" s="21" t="s">
        <v>283</v>
      </c>
      <c r="P26" s="22" t="s">
        <v>306</v>
      </c>
      <c r="Q26" s="20">
        <f t="shared" si="3"/>
        <v>29.909752264294632</v>
      </c>
      <c r="R26" s="1">
        <f t="shared" si="4"/>
        <v>600.75839653304456</v>
      </c>
      <c r="S26" s="17">
        <f t="shared" si="5"/>
        <v>8.5999999999999993E-2</v>
      </c>
      <c r="T26" s="17">
        <f t="shared" si="6"/>
        <v>5.5528641160949865</v>
      </c>
      <c r="U26" s="17">
        <f t="shared" si="7"/>
        <v>7.22</v>
      </c>
      <c r="V26" s="17">
        <f t="shared" si="8"/>
        <v>0.18469569999999999</v>
      </c>
      <c r="W26" s="1">
        <f t="shared" si="9"/>
        <v>0</v>
      </c>
      <c r="X26" s="1">
        <f t="shared" si="10"/>
        <v>0</v>
      </c>
      <c r="Y26" s="1">
        <f t="shared" si="11"/>
        <v>0</v>
      </c>
      <c r="Z26" s="1">
        <f t="shared" si="12"/>
        <v>0</v>
      </c>
      <c r="AA26" s="1">
        <f t="shared" si="13"/>
        <v>0</v>
      </c>
      <c r="AB26" s="37">
        <f t="shared" ref="AB26" si="82">AVERAGE(Q26:Q27)</f>
        <v>30.339544812689404</v>
      </c>
      <c r="AC26" s="37">
        <f t="shared" ref="AC26" si="83">AVERAGE(R26:R27)</f>
        <v>602.11304199541223</v>
      </c>
      <c r="AD26" s="37">
        <f t="shared" ref="AD26" si="84">AVERAGE(S26:S27)</f>
        <v>8.7499999999999994E-2</v>
      </c>
      <c r="AE26" s="37">
        <f t="shared" ref="AE26" si="85">AVERAGE(T26:T27)</f>
        <v>5.6295921704070437</v>
      </c>
      <c r="AF26" s="32"/>
      <c r="AG26" s="32"/>
      <c r="AH26" s="39">
        <f>STDEV(Q26:Q27)</f>
        <v>0.60781845094677922</v>
      </c>
      <c r="AI26" s="39">
        <f t="shared" ref="AI26:AR26" si="86">STDEV(R26:R27)</f>
        <v>1.915757985087452</v>
      </c>
      <c r="AJ26" s="39">
        <f t="shared" si="86"/>
        <v>2.1213203435596446E-3</v>
      </c>
      <c r="AK26" s="39">
        <f t="shared" si="86"/>
        <v>0.10850985502261074</v>
      </c>
      <c r="AL26" s="39">
        <f t="shared" si="86"/>
        <v>7.7781745930519827E-2</v>
      </c>
      <c r="AM26" s="39">
        <f t="shared" si="86"/>
        <v>4.5901836700724709E-2</v>
      </c>
      <c r="AN26" s="39">
        <f t="shared" si="86"/>
        <v>0</v>
      </c>
      <c r="AO26" s="39">
        <f t="shared" si="86"/>
        <v>0</v>
      </c>
      <c r="AP26" s="39">
        <f t="shared" si="86"/>
        <v>0</v>
      </c>
      <c r="AQ26" s="39">
        <f t="shared" si="86"/>
        <v>0</v>
      </c>
      <c r="AR26" s="39">
        <f t="shared" si="86"/>
        <v>0</v>
      </c>
    </row>
    <row r="27" spans="1:44" s="1" customFormat="1" x14ac:dyDescent="0.3">
      <c r="A27" s="21" t="s">
        <v>283</v>
      </c>
      <c r="B27" s="22" t="s">
        <v>306</v>
      </c>
      <c r="C27" s="20">
        <v>3.0769337361084172</v>
      </c>
      <c r="D27" s="20">
        <v>60.346768745777979</v>
      </c>
      <c r="E27" s="23">
        <v>8.8999999999999996E-2</v>
      </c>
      <c r="F27" s="23">
        <v>5.7063202247191009</v>
      </c>
      <c r="G27" s="22">
        <v>7.11</v>
      </c>
      <c r="H27" s="21">
        <v>0.11978069999999999</v>
      </c>
      <c r="I27" s="21"/>
      <c r="J27" s="21"/>
      <c r="K27" s="21"/>
      <c r="L27" s="21"/>
      <c r="M27" s="21"/>
      <c r="O27" s="21" t="s">
        <v>283</v>
      </c>
      <c r="P27" s="22" t="s">
        <v>306</v>
      </c>
      <c r="Q27" s="20">
        <f t="shared" si="3"/>
        <v>30.769337361084172</v>
      </c>
      <c r="R27" s="1">
        <f t="shared" si="4"/>
        <v>603.46768745777979</v>
      </c>
      <c r="S27" s="17">
        <f t="shared" si="5"/>
        <v>8.8999999999999996E-2</v>
      </c>
      <c r="T27" s="17">
        <f t="shared" si="6"/>
        <v>5.7063202247191009</v>
      </c>
      <c r="U27" s="17">
        <f t="shared" si="7"/>
        <v>7.11</v>
      </c>
      <c r="V27" s="17">
        <f t="shared" si="8"/>
        <v>0.11978069999999999</v>
      </c>
      <c r="W27" s="1">
        <f t="shared" si="9"/>
        <v>0</v>
      </c>
      <c r="X27" s="1">
        <f t="shared" si="10"/>
        <v>0</v>
      </c>
      <c r="Y27" s="1">
        <f t="shared" si="11"/>
        <v>0</v>
      </c>
      <c r="Z27" s="1">
        <f t="shared" si="12"/>
        <v>0</v>
      </c>
      <c r="AA27" s="1">
        <f t="shared" si="13"/>
        <v>0</v>
      </c>
      <c r="AB27" s="37"/>
      <c r="AC27" s="37"/>
      <c r="AD27" s="37"/>
      <c r="AE27" s="37"/>
      <c r="AF27" s="32"/>
      <c r="AG27" s="32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</row>
    <row r="28" spans="1:44" s="1" customFormat="1" x14ac:dyDescent="0.3">
      <c r="A28" s="21" t="s">
        <v>283</v>
      </c>
      <c r="B28" s="21" t="s">
        <v>61</v>
      </c>
      <c r="C28" s="22">
        <v>5.5490039840637442</v>
      </c>
      <c r="D28" s="21">
        <v>76.258855064139397</v>
      </c>
      <c r="E28" s="21">
        <v>2.8556034482758617</v>
      </c>
      <c r="F28" s="24">
        <v>4.1243330328738077</v>
      </c>
      <c r="G28" s="21">
        <v>7.01</v>
      </c>
      <c r="H28" s="21">
        <v>13.787284199999998</v>
      </c>
      <c r="I28" s="21">
        <v>38.271923384271659</v>
      </c>
      <c r="J28" s="21">
        <v>21.662571353768602</v>
      </c>
      <c r="K28" s="21">
        <v>11.370513934888843</v>
      </c>
      <c r="L28" s="21">
        <v>5.2388380956142147</v>
      </c>
      <c r="M28" s="21">
        <v>15.244967082229127</v>
      </c>
      <c r="O28" s="21" t="s">
        <v>283</v>
      </c>
      <c r="P28" s="21" t="s">
        <v>61</v>
      </c>
      <c r="Q28" s="20">
        <f t="shared" si="3"/>
        <v>55.490039840637444</v>
      </c>
      <c r="R28" s="1">
        <f t="shared" si="4"/>
        <v>762.58855064139402</v>
      </c>
      <c r="S28" s="17">
        <f t="shared" si="5"/>
        <v>2.8556034482758617</v>
      </c>
      <c r="T28" s="17">
        <f t="shared" si="6"/>
        <v>4.1243330328738077</v>
      </c>
      <c r="U28" s="17">
        <f t="shared" si="7"/>
        <v>7.01</v>
      </c>
      <c r="V28" s="17">
        <f t="shared" si="8"/>
        <v>13.787284199999998</v>
      </c>
      <c r="W28" s="1">
        <f t="shared" si="9"/>
        <v>382.71923384271656</v>
      </c>
      <c r="X28" s="1">
        <f t="shared" si="10"/>
        <v>216.62571353768601</v>
      </c>
      <c r="Y28" s="1">
        <f t="shared" si="11"/>
        <v>113.70513934888842</v>
      </c>
      <c r="Z28" s="1">
        <f t="shared" si="12"/>
        <v>52.388380956142143</v>
      </c>
      <c r="AA28" s="1">
        <f t="shared" si="13"/>
        <v>152.44967082229127</v>
      </c>
      <c r="AB28" s="38">
        <f t="shared" ref="AB28" si="87">AVERAGE(Q28:Q29)</f>
        <v>58.060373728141307</v>
      </c>
      <c r="AC28" s="38">
        <f t="shared" ref="AC28" si="88">AVERAGE(R28:R29)</f>
        <v>770.06995879836722</v>
      </c>
      <c r="AD28" s="38">
        <f t="shared" ref="AD28" si="89">AVERAGE(S28:S29)</f>
        <v>2.9138995189605579</v>
      </c>
      <c r="AE28" s="38">
        <f t="shared" ref="AE28" si="90">AVERAGE(T28:T29)</f>
        <v>4.096555199363733</v>
      </c>
      <c r="AF28" s="33"/>
      <c r="AG28" s="33"/>
      <c r="AH28" s="40">
        <f>STDEV(Q28:Q29)</f>
        <v>3.6350010435351257</v>
      </c>
      <c r="AI28" s="39">
        <f t="shared" ref="AI28:AR28" si="91">STDEV(R28:R29)</f>
        <v>10.580308881240205</v>
      </c>
      <c r="AJ28" s="39">
        <f t="shared" si="91"/>
        <v>8.2443093795357997E-2</v>
      </c>
      <c r="AK28" s="39">
        <f t="shared" si="91"/>
        <v>3.9283788883289449E-2</v>
      </c>
      <c r="AL28" s="39">
        <f t="shared" si="91"/>
        <v>7.0710678118655126E-2</v>
      </c>
      <c r="AM28" s="39">
        <f t="shared" si="91"/>
        <v>9.1984622026757043E-2</v>
      </c>
      <c r="AN28" s="39">
        <f t="shared" si="91"/>
        <v>28.149300973419468</v>
      </c>
      <c r="AO28" s="39">
        <f t="shared" si="91"/>
        <v>19.911640827445709</v>
      </c>
      <c r="AP28" s="39">
        <f t="shared" si="91"/>
        <v>16.44590191610477</v>
      </c>
      <c r="AQ28" s="39">
        <f t="shared" si="91"/>
        <v>24.683562062078543</v>
      </c>
      <c r="AR28" s="39">
        <f t="shared" si="91"/>
        <v>37.642476251433962</v>
      </c>
    </row>
    <row r="29" spans="1:44" s="1" customFormat="1" x14ac:dyDescent="0.3">
      <c r="A29" s="21" t="s">
        <v>283</v>
      </c>
      <c r="B29" s="21" t="s">
        <v>61</v>
      </c>
      <c r="C29" s="22">
        <v>6.063070761564517</v>
      </c>
      <c r="D29" s="21">
        <v>77.755136695534048</v>
      </c>
      <c r="E29" s="21">
        <v>2.9721955896452541</v>
      </c>
      <c r="F29" s="24">
        <v>4.0687773658536583</v>
      </c>
      <c r="G29" s="21">
        <v>7.11</v>
      </c>
      <c r="H29" s="21">
        <v>13.917370100000001</v>
      </c>
      <c r="I29" s="21">
        <v>42.252835705064854</v>
      </c>
      <c r="J29" s="21">
        <v>24.478502604496157</v>
      </c>
      <c r="K29" s="21">
        <v>9.0447121813675331</v>
      </c>
      <c r="L29" s="21">
        <v>8.7296209192011709</v>
      </c>
      <c r="M29" s="21">
        <v>9.9215170386206086</v>
      </c>
      <c r="O29" s="21" t="s">
        <v>283</v>
      </c>
      <c r="P29" s="21" t="s">
        <v>61</v>
      </c>
      <c r="Q29" s="20">
        <f t="shared" si="3"/>
        <v>60.630707615645171</v>
      </c>
      <c r="R29" s="1">
        <f t="shared" si="4"/>
        <v>777.55136695534043</v>
      </c>
      <c r="S29" s="17">
        <f t="shared" si="5"/>
        <v>2.9721955896452541</v>
      </c>
      <c r="T29" s="17">
        <f t="shared" si="6"/>
        <v>4.0687773658536583</v>
      </c>
      <c r="U29" s="17">
        <f t="shared" si="7"/>
        <v>7.11</v>
      </c>
      <c r="V29" s="17">
        <f t="shared" si="8"/>
        <v>13.917370100000001</v>
      </c>
      <c r="W29" s="1">
        <f t="shared" si="9"/>
        <v>422.52835705064854</v>
      </c>
      <c r="X29" s="1">
        <f t="shared" si="10"/>
        <v>244.78502604496157</v>
      </c>
      <c r="Y29" s="1">
        <f t="shared" si="11"/>
        <v>90.447121813675324</v>
      </c>
      <c r="Z29" s="1">
        <f t="shared" si="12"/>
        <v>87.296209192011702</v>
      </c>
      <c r="AA29" s="1">
        <f t="shared" si="13"/>
        <v>99.215170386206083</v>
      </c>
      <c r="AB29" s="38"/>
      <c r="AC29" s="38"/>
      <c r="AD29" s="38"/>
      <c r="AE29" s="38"/>
      <c r="AF29" s="33"/>
      <c r="AG29" s="33"/>
      <c r="AH29" s="40"/>
      <c r="AI29" s="39"/>
      <c r="AJ29" s="39"/>
      <c r="AK29" s="39"/>
      <c r="AL29" s="39"/>
      <c r="AM29" s="39"/>
      <c r="AN29" s="39"/>
      <c r="AO29" s="39"/>
      <c r="AP29" s="39"/>
      <c r="AQ29" s="39"/>
      <c r="AR29" s="39"/>
    </row>
  </sheetData>
  <mergeCells count="222">
    <mergeCell ref="AH16:AH17"/>
    <mergeCell ref="AH18:AH19"/>
    <mergeCell ref="AH20:AH21"/>
    <mergeCell ref="AH22:AH23"/>
    <mergeCell ref="AH24:AH25"/>
    <mergeCell ref="AH2:AH3"/>
    <mergeCell ref="AH4:AH5"/>
    <mergeCell ref="AH6:AH7"/>
    <mergeCell ref="AH8:AH9"/>
    <mergeCell ref="AH10:AH11"/>
    <mergeCell ref="AH12:AH13"/>
    <mergeCell ref="AI2:AI3"/>
    <mergeCell ref="AJ2:AJ3"/>
    <mergeCell ref="AK2:AK3"/>
    <mergeCell ref="AL2:AL3"/>
    <mergeCell ref="AI4:AI5"/>
    <mergeCell ref="AJ4:AJ5"/>
    <mergeCell ref="AK4:AK5"/>
    <mergeCell ref="AL4:AL5"/>
    <mergeCell ref="AH14:AH15"/>
    <mergeCell ref="AI10:AI11"/>
    <mergeCell ref="AJ10:AJ11"/>
    <mergeCell ref="AK10:AK11"/>
    <mergeCell ref="AL10:AL11"/>
    <mergeCell ref="AI14:AI15"/>
    <mergeCell ref="AJ14:AJ15"/>
    <mergeCell ref="AK14:AK15"/>
    <mergeCell ref="AL14:AL15"/>
    <mergeCell ref="AM4:AM5"/>
    <mergeCell ref="AN4:AN5"/>
    <mergeCell ref="AO4:AO5"/>
    <mergeCell ref="AP4:AP5"/>
    <mergeCell ref="AQ4:AQ5"/>
    <mergeCell ref="AR4:AR5"/>
    <mergeCell ref="AM2:AM3"/>
    <mergeCell ref="AN2:AN3"/>
    <mergeCell ref="AO2:AO3"/>
    <mergeCell ref="AP2:AP3"/>
    <mergeCell ref="AQ2:AQ3"/>
    <mergeCell ref="AR2:AR3"/>
    <mergeCell ref="AO6:AO7"/>
    <mergeCell ref="AP6:AP7"/>
    <mergeCell ref="AQ6:AQ7"/>
    <mergeCell ref="AR6:AR7"/>
    <mergeCell ref="AI8:AI9"/>
    <mergeCell ref="AJ8:AJ9"/>
    <mergeCell ref="AK8:AK9"/>
    <mergeCell ref="AL8:AL9"/>
    <mergeCell ref="AM8:AM9"/>
    <mergeCell ref="AN8:AN9"/>
    <mergeCell ref="AI6:AI7"/>
    <mergeCell ref="AJ6:AJ7"/>
    <mergeCell ref="AK6:AK7"/>
    <mergeCell ref="AL6:AL7"/>
    <mergeCell ref="AM6:AM7"/>
    <mergeCell ref="AN6:AN7"/>
    <mergeCell ref="AO8:AO9"/>
    <mergeCell ref="AP8:AP9"/>
    <mergeCell ref="AQ8:AQ9"/>
    <mergeCell ref="AR8:AR9"/>
    <mergeCell ref="AM10:AM11"/>
    <mergeCell ref="AN10:AN11"/>
    <mergeCell ref="AO10:AO11"/>
    <mergeCell ref="AP10:AP11"/>
    <mergeCell ref="AQ10:AQ11"/>
    <mergeCell ref="AR10:AR11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M14:AM15"/>
    <mergeCell ref="AN14:AN15"/>
    <mergeCell ref="AO14:AO15"/>
    <mergeCell ref="AP14:AP15"/>
    <mergeCell ref="AQ14:AQ15"/>
    <mergeCell ref="AR14:AR15"/>
    <mergeCell ref="AI16:AI17"/>
    <mergeCell ref="AJ16:AJ17"/>
    <mergeCell ref="AK16:AK17"/>
    <mergeCell ref="AL16:AL17"/>
    <mergeCell ref="AM16:AM17"/>
    <mergeCell ref="AN16:AN17"/>
    <mergeCell ref="AR18:AR19"/>
    <mergeCell ref="AI20:AI21"/>
    <mergeCell ref="AJ20:AJ21"/>
    <mergeCell ref="AK20:AK21"/>
    <mergeCell ref="AL20:AL21"/>
    <mergeCell ref="AM20:AM21"/>
    <mergeCell ref="AN20:AN21"/>
    <mergeCell ref="AO16:AO17"/>
    <mergeCell ref="AP16:AP17"/>
    <mergeCell ref="AQ16:AQ17"/>
    <mergeCell ref="AR16:AR17"/>
    <mergeCell ref="AI18:AI19"/>
    <mergeCell ref="AJ18:AJ19"/>
    <mergeCell ref="AK18:AK19"/>
    <mergeCell ref="AL18:AL19"/>
    <mergeCell ref="AM18:AM19"/>
    <mergeCell ref="AN18:AN19"/>
    <mergeCell ref="AR22:AR23"/>
    <mergeCell ref="AI24:AI25"/>
    <mergeCell ref="AJ24:AJ25"/>
    <mergeCell ref="AK24:AK25"/>
    <mergeCell ref="AL24:AL25"/>
    <mergeCell ref="AM24:AM25"/>
    <mergeCell ref="AN24:AN25"/>
    <mergeCell ref="AO20:AO21"/>
    <mergeCell ref="AP20:AP21"/>
    <mergeCell ref="AQ20:AQ21"/>
    <mergeCell ref="AR20:AR21"/>
    <mergeCell ref="AI22:AI23"/>
    <mergeCell ref="AJ22:AJ23"/>
    <mergeCell ref="AK22:AK23"/>
    <mergeCell ref="AL22:AL23"/>
    <mergeCell ref="AM22:AM23"/>
    <mergeCell ref="AN22:AN23"/>
    <mergeCell ref="AR28:AR29"/>
    <mergeCell ref="AB6:AB7"/>
    <mergeCell ref="AB8:AB9"/>
    <mergeCell ref="AB10:AB11"/>
    <mergeCell ref="AB12:AB13"/>
    <mergeCell ref="AB14:AB15"/>
    <mergeCell ref="AB16:AB17"/>
    <mergeCell ref="AO26:AO27"/>
    <mergeCell ref="AP26:AP27"/>
    <mergeCell ref="AQ26:AQ27"/>
    <mergeCell ref="AR26:AR27"/>
    <mergeCell ref="AI28:AI29"/>
    <mergeCell ref="AJ28:AJ29"/>
    <mergeCell ref="AK28:AK29"/>
    <mergeCell ref="AL28:AL29"/>
    <mergeCell ref="AM28:AM29"/>
    <mergeCell ref="AN28:AN29"/>
    <mergeCell ref="AO24:AO25"/>
    <mergeCell ref="AP24:AP25"/>
    <mergeCell ref="AQ24:AQ25"/>
    <mergeCell ref="AR24:AR25"/>
    <mergeCell ref="AI26:AI27"/>
    <mergeCell ref="AJ26:AJ27"/>
    <mergeCell ref="AK26:AK27"/>
    <mergeCell ref="AB18:AB19"/>
    <mergeCell ref="AB20:AB21"/>
    <mergeCell ref="AB22:AB23"/>
    <mergeCell ref="AB24:AB25"/>
    <mergeCell ref="AB26:AB27"/>
    <mergeCell ref="AB28:AB29"/>
    <mergeCell ref="AO28:AO29"/>
    <mergeCell ref="AP28:AP29"/>
    <mergeCell ref="AQ28:AQ29"/>
    <mergeCell ref="AL26:AL27"/>
    <mergeCell ref="AM26:AM27"/>
    <mergeCell ref="AN26:AN27"/>
    <mergeCell ref="AO22:AO23"/>
    <mergeCell ref="AP22:AP23"/>
    <mergeCell ref="AQ22:AQ23"/>
    <mergeCell ref="AO18:AO19"/>
    <mergeCell ref="AP18:AP19"/>
    <mergeCell ref="AQ18:AQ19"/>
    <mergeCell ref="AH26:AH27"/>
    <mergeCell ref="AH28:AH29"/>
    <mergeCell ref="AC28:AC29"/>
    <mergeCell ref="AD28:AD29"/>
    <mergeCell ref="AE28:AE29"/>
    <mergeCell ref="AC22:AC23"/>
    <mergeCell ref="AC16:AC17"/>
    <mergeCell ref="AD16:AD17"/>
    <mergeCell ref="AE16:AE17"/>
    <mergeCell ref="AC10:AC11"/>
    <mergeCell ref="AD10:AD11"/>
    <mergeCell ref="AE10:AE11"/>
    <mergeCell ref="AF24:AF25"/>
    <mergeCell ref="AG24:AG25"/>
    <mergeCell ref="AF18:AF19"/>
    <mergeCell ref="AG18:AG19"/>
    <mergeCell ref="AC12:AC13"/>
    <mergeCell ref="AD12:AD13"/>
    <mergeCell ref="AE12:AE13"/>
    <mergeCell ref="AF6:AF7"/>
    <mergeCell ref="AG6:AG7"/>
    <mergeCell ref="AF8:AF9"/>
    <mergeCell ref="AG8:AG9"/>
    <mergeCell ref="AF10:AF11"/>
    <mergeCell ref="AG10:AG11"/>
    <mergeCell ref="AC14:AC15"/>
    <mergeCell ref="AD14:AD15"/>
    <mergeCell ref="AE14:AE15"/>
    <mergeCell ref="AC6:AC7"/>
    <mergeCell ref="AD6:AD7"/>
    <mergeCell ref="AE6:AE7"/>
    <mergeCell ref="AC8:AC9"/>
    <mergeCell ref="AD8:AD9"/>
    <mergeCell ref="AE8:AE9"/>
    <mergeCell ref="AC26:AC27"/>
    <mergeCell ref="AD26:AD27"/>
    <mergeCell ref="AE26:AE27"/>
    <mergeCell ref="AC18:AC19"/>
    <mergeCell ref="AD18:AD19"/>
    <mergeCell ref="AE18:AE19"/>
    <mergeCell ref="AC20:AC21"/>
    <mergeCell ref="AD20:AD21"/>
    <mergeCell ref="AE20:AE21"/>
    <mergeCell ref="AD22:AD23"/>
    <mergeCell ref="AE22:AE23"/>
    <mergeCell ref="AC24:AC25"/>
    <mergeCell ref="AD24:AD25"/>
    <mergeCell ref="AE24:AE25"/>
    <mergeCell ref="AF20:AF21"/>
    <mergeCell ref="AG20:AG21"/>
    <mergeCell ref="AF22:AF23"/>
    <mergeCell ref="AG22:AG23"/>
    <mergeCell ref="AF12:AF13"/>
    <mergeCell ref="AG12:AG13"/>
    <mergeCell ref="AF14:AF15"/>
    <mergeCell ref="AG14:AG15"/>
    <mergeCell ref="AF16:AF17"/>
    <mergeCell ref="AG16:A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475E-66E1-45C7-844A-FF568E82C4B7}">
  <dimension ref="A1:R12"/>
  <sheetViews>
    <sheetView topLeftCell="A2" workbookViewId="0">
      <selection activeCell="M2" sqref="M2:R12"/>
    </sheetView>
  </sheetViews>
  <sheetFormatPr defaultRowHeight="14.4" x14ac:dyDescent="0.3"/>
  <sheetData>
    <row r="1" spans="1:18" ht="28.8" x14ac:dyDescent="0.3">
      <c r="A1" s="34" t="s">
        <v>307</v>
      </c>
      <c r="B1" s="34" t="s">
        <v>308</v>
      </c>
      <c r="C1" s="34" t="s">
        <v>309</v>
      </c>
      <c r="D1" s="34" t="s">
        <v>310</v>
      </c>
      <c r="E1" s="34" t="s">
        <v>311</v>
      </c>
      <c r="F1" s="34" t="s">
        <v>312</v>
      </c>
      <c r="G1" s="34" t="s">
        <v>313</v>
      </c>
      <c r="H1" s="34" t="s">
        <v>314</v>
      </c>
      <c r="I1" s="34" t="s">
        <v>315</v>
      </c>
    </row>
    <row r="2" spans="1:18" ht="57.6" x14ac:dyDescent="0.3">
      <c r="A2" s="36" t="s">
        <v>316</v>
      </c>
      <c r="B2" s="35" t="s">
        <v>317</v>
      </c>
      <c r="C2" s="35" t="s">
        <v>318</v>
      </c>
      <c r="D2" s="35" t="s">
        <v>381</v>
      </c>
      <c r="E2" s="35" t="s">
        <v>382</v>
      </c>
      <c r="F2" s="35" t="s">
        <v>319</v>
      </c>
      <c r="G2" s="35" t="s">
        <v>383</v>
      </c>
      <c r="H2" s="35" t="s">
        <v>320</v>
      </c>
      <c r="I2" s="35" t="s">
        <v>384</v>
      </c>
      <c r="L2" s="36" t="s">
        <v>316</v>
      </c>
      <c r="M2" s="36" t="s">
        <v>415</v>
      </c>
      <c r="N2" s="36" t="s">
        <v>416</v>
      </c>
      <c r="O2" s="36" t="s">
        <v>417</v>
      </c>
      <c r="P2" s="36" t="s">
        <v>418</v>
      </c>
      <c r="Q2" s="36" t="s">
        <v>419</v>
      </c>
      <c r="R2" s="36" t="s">
        <v>420</v>
      </c>
    </row>
    <row r="3" spans="1:18" ht="57.6" x14ac:dyDescent="0.3">
      <c r="A3" s="36" t="s">
        <v>321</v>
      </c>
      <c r="B3" s="35" t="s">
        <v>322</v>
      </c>
      <c r="C3" s="35" t="s">
        <v>323</v>
      </c>
      <c r="D3" s="35" t="s">
        <v>385</v>
      </c>
      <c r="E3" s="35" t="s">
        <v>386</v>
      </c>
      <c r="F3" s="35" t="s">
        <v>324</v>
      </c>
      <c r="G3" s="35" t="s">
        <v>325</v>
      </c>
      <c r="H3" s="35" t="s">
        <v>387</v>
      </c>
      <c r="I3" t="s">
        <v>326</v>
      </c>
      <c r="L3" s="35" t="s">
        <v>321</v>
      </c>
      <c r="M3" s="35" t="s">
        <v>421</v>
      </c>
      <c r="N3" s="35" t="s">
        <v>422</v>
      </c>
      <c r="O3" s="35" t="s">
        <v>423</v>
      </c>
      <c r="P3" s="35" t="s">
        <v>424</v>
      </c>
      <c r="Q3" s="35" t="s">
        <v>425</v>
      </c>
      <c r="R3" s="35" t="s">
        <v>426</v>
      </c>
    </row>
    <row r="4" spans="1:18" ht="43.2" x14ac:dyDescent="0.3">
      <c r="A4" s="36" t="s">
        <v>327</v>
      </c>
      <c r="B4" s="35" t="s">
        <v>328</v>
      </c>
      <c r="C4" s="35" t="s">
        <v>329</v>
      </c>
      <c r="D4" s="35" t="s">
        <v>388</v>
      </c>
      <c r="E4" s="35" t="s">
        <v>389</v>
      </c>
      <c r="F4" s="35" t="s">
        <v>330</v>
      </c>
      <c r="G4" s="35" t="s">
        <v>331</v>
      </c>
      <c r="H4" s="35" t="s">
        <v>332</v>
      </c>
      <c r="I4" t="s">
        <v>333</v>
      </c>
      <c r="L4" s="35" t="s">
        <v>327</v>
      </c>
      <c r="M4" s="35" t="s">
        <v>427</v>
      </c>
      <c r="N4" s="35" t="s">
        <v>329</v>
      </c>
      <c r="O4" s="35" t="s">
        <v>428</v>
      </c>
      <c r="P4" s="35" t="s">
        <v>429</v>
      </c>
      <c r="Q4" s="35" t="s">
        <v>430</v>
      </c>
      <c r="R4" s="35" t="s">
        <v>431</v>
      </c>
    </row>
    <row r="5" spans="1:18" ht="43.2" x14ac:dyDescent="0.3">
      <c r="A5" s="36" t="s">
        <v>334</v>
      </c>
      <c r="B5" s="35" t="s">
        <v>390</v>
      </c>
      <c r="C5" s="35" t="s">
        <v>335</v>
      </c>
      <c r="D5" s="35" t="s">
        <v>391</v>
      </c>
      <c r="E5" s="35" t="s">
        <v>336</v>
      </c>
      <c r="F5" s="35" t="s">
        <v>392</v>
      </c>
      <c r="G5" s="35" t="s">
        <v>393</v>
      </c>
      <c r="H5" s="35" t="s">
        <v>394</v>
      </c>
      <c r="I5" t="s">
        <v>395</v>
      </c>
      <c r="L5" s="35" t="s">
        <v>334</v>
      </c>
      <c r="M5" s="35" t="s">
        <v>432</v>
      </c>
      <c r="N5" s="35" t="s">
        <v>404</v>
      </c>
      <c r="O5" s="35" t="s">
        <v>405</v>
      </c>
      <c r="P5" s="35" t="s">
        <v>433</v>
      </c>
      <c r="Q5" s="35" t="s">
        <v>406</v>
      </c>
      <c r="R5" s="35" t="s">
        <v>407</v>
      </c>
    </row>
    <row r="6" spans="1:18" ht="28.8" x14ac:dyDescent="0.3">
      <c r="A6" s="36" t="s">
        <v>9</v>
      </c>
      <c r="B6" s="35" t="s">
        <v>337</v>
      </c>
      <c r="C6" s="35" t="s">
        <v>338</v>
      </c>
      <c r="D6" s="35" t="s">
        <v>339</v>
      </c>
      <c r="E6" s="35" t="s">
        <v>340</v>
      </c>
      <c r="F6" s="35" t="s">
        <v>341</v>
      </c>
      <c r="G6" s="35" t="s">
        <v>342</v>
      </c>
      <c r="H6" s="35" t="s">
        <v>343</v>
      </c>
      <c r="I6" t="s">
        <v>344</v>
      </c>
      <c r="L6" s="35" t="s">
        <v>9</v>
      </c>
      <c r="M6" s="35" t="s">
        <v>408</v>
      </c>
      <c r="N6" s="35" t="s">
        <v>409</v>
      </c>
      <c r="O6" s="35" t="s">
        <v>410</v>
      </c>
      <c r="P6" s="35" t="s">
        <v>411</v>
      </c>
      <c r="Q6" s="35" t="s">
        <v>412</v>
      </c>
      <c r="R6" s="35" t="s">
        <v>413</v>
      </c>
    </row>
    <row r="7" spans="1:18" ht="72" x14ac:dyDescent="0.3">
      <c r="A7" s="36" t="s">
        <v>345</v>
      </c>
      <c r="B7" s="35" t="s">
        <v>346</v>
      </c>
      <c r="C7" s="35">
        <v>0</v>
      </c>
      <c r="D7" s="35" t="s">
        <v>347</v>
      </c>
      <c r="E7" s="35" t="s">
        <v>348</v>
      </c>
      <c r="F7" s="35" t="s">
        <v>349</v>
      </c>
      <c r="G7" s="35" t="s">
        <v>350</v>
      </c>
      <c r="H7" s="35" t="s">
        <v>351</v>
      </c>
      <c r="I7" t="s">
        <v>352</v>
      </c>
      <c r="L7" s="35" t="s">
        <v>434</v>
      </c>
      <c r="M7" s="35" t="s">
        <v>435</v>
      </c>
      <c r="N7" s="35">
        <v>0</v>
      </c>
      <c r="O7" s="35" t="s">
        <v>436</v>
      </c>
      <c r="P7" s="35" t="s">
        <v>437</v>
      </c>
      <c r="Q7" s="35" t="s">
        <v>414</v>
      </c>
      <c r="R7" s="35" t="s">
        <v>438</v>
      </c>
    </row>
    <row r="8" spans="1:18" ht="43.2" x14ac:dyDescent="0.3">
      <c r="A8" s="36" t="s">
        <v>353</v>
      </c>
      <c r="B8" s="35" t="s">
        <v>396</v>
      </c>
      <c r="C8" s="35" t="s">
        <v>354</v>
      </c>
      <c r="D8" s="35" t="s">
        <v>355</v>
      </c>
      <c r="E8" s="35" t="s">
        <v>356</v>
      </c>
      <c r="F8" s="35" t="s">
        <v>357</v>
      </c>
      <c r="G8" s="35" t="s">
        <v>354</v>
      </c>
      <c r="H8" s="35" t="s">
        <v>358</v>
      </c>
      <c r="I8" t="s">
        <v>359</v>
      </c>
      <c r="L8" s="35" t="s">
        <v>353</v>
      </c>
      <c r="M8" s="35" t="s">
        <v>354</v>
      </c>
      <c r="N8" s="35" t="s">
        <v>439</v>
      </c>
      <c r="O8" s="35" t="s">
        <v>440</v>
      </c>
      <c r="P8" s="35" t="s">
        <v>441</v>
      </c>
      <c r="Q8" s="35" t="s">
        <v>354</v>
      </c>
      <c r="R8" s="35" t="s">
        <v>442</v>
      </c>
    </row>
    <row r="9" spans="1:18" ht="43.2" x14ac:dyDescent="0.3">
      <c r="A9" s="36" t="s">
        <v>360</v>
      </c>
      <c r="B9" s="35" t="s">
        <v>361</v>
      </c>
      <c r="C9" s="35" t="s">
        <v>354</v>
      </c>
      <c r="D9" s="35" t="s">
        <v>397</v>
      </c>
      <c r="E9" s="35" t="s">
        <v>398</v>
      </c>
      <c r="F9" s="35" t="s">
        <v>362</v>
      </c>
      <c r="G9" s="35" t="s">
        <v>354</v>
      </c>
      <c r="H9" s="35" t="s">
        <v>399</v>
      </c>
      <c r="I9" t="s">
        <v>400</v>
      </c>
      <c r="L9" s="35" t="s">
        <v>360</v>
      </c>
      <c r="M9" s="35" t="s">
        <v>354</v>
      </c>
      <c r="N9" s="35" t="s">
        <v>354</v>
      </c>
      <c r="O9" s="35" t="s">
        <v>443</v>
      </c>
      <c r="P9" s="35" t="s">
        <v>444</v>
      </c>
      <c r="Q9" s="35" t="s">
        <v>354</v>
      </c>
      <c r="R9" s="35" t="s">
        <v>445</v>
      </c>
    </row>
    <row r="10" spans="1:18" ht="57.6" x14ac:dyDescent="0.3">
      <c r="A10" s="36" t="s">
        <v>363</v>
      </c>
      <c r="B10" s="35" t="s">
        <v>401</v>
      </c>
      <c r="C10" s="35" t="s">
        <v>354</v>
      </c>
      <c r="D10" s="35" t="s">
        <v>364</v>
      </c>
      <c r="E10" s="35" t="s">
        <v>365</v>
      </c>
      <c r="F10" s="35" t="s">
        <v>402</v>
      </c>
      <c r="G10" s="35" t="s">
        <v>354</v>
      </c>
      <c r="H10" s="35" t="s">
        <v>366</v>
      </c>
      <c r="I10" t="s">
        <v>367</v>
      </c>
      <c r="L10" s="35" t="s">
        <v>363</v>
      </c>
      <c r="M10" s="35" t="s">
        <v>354</v>
      </c>
      <c r="N10" s="35" t="s">
        <v>354</v>
      </c>
      <c r="O10" s="35" t="s">
        <v>446</v>
      </c>
      <c r="P10" s="35" t="s">
        <v>447</v>
      </c>
      <c r="Q10" s="35" t="s">
        <v>354</v>
      </c>
      <c r="R10" s="35" t="s">
        <v>448</v>
      </c>
    </row>
    <row r="11" spans="1:18" ht="43.2" x14ac:dyDescent="0.3">
      <c r="A11" s="36" t="s">
        <v>368</v>
      </c>
      <c r="B11" s="35" t="s">
        <v>369</v>
      </c>
      <c r="C11" s="35" t="s">
        <v>354</v>
      </c>
      <c r="D11" s="35" t="s">
        <v>370</v>
      </c>
      <c r="E11" s="35" t="s">
        <v>371</v>
      </c>
      <c r="F11" s="35" t="s">
        <v>372</v>
      </c>
      <c r="G11" s="35" t="s">
        <v>354</v>
      </c>
      <c r="H11" s="35" t="s">
        <v>373</v>
      </c>
      <c r="I11" t="s">
        <v>374</v>
      </c>
      <c r="L11" s="35" t="s">
        <v>368</v>
      </c>
      <c r="M11" s="35" t="s">
        <v>354</v>
      </c>
      <c r="N11" s="35" t="s">
        <v>354</v>
      </c>
      <c r="O11" s="35" t="s">
        <v>449</v>
      </c>
      <c r="P11" s="35" t="s">
        <v>450</v>
      </c>
      <c r="Q11" s="35" t="s">
        <v>354</v>
      </c>
      <c r="R11" s="35" t="s">
        <v>451</v>
      </c>
    </row>
    <row r="12" spans="1:18" ht="43.2" x14ac:dyDescent="0.3">
      <c r="A12" s="36" t="s">
        <v>375</v>
      </c>
      <c r="B12" s="35" t="s">
        <v>376</v>
      </c>
      <c r="C12" s="35" t="s">
        <v>354</v>
      </c>
      <c r="D12" s="35" t="s">
        <v>403</v>
      </c>
      <c r="E12" s="35" t="s">
        <v>377</v>
      </c>
      <c r="F12" s="35" t="s">
        <v>378</v>
      </c>
      <c r="G12" s="35" t="s">
        <v>354</v>
      </c>
      <c r="H12" s="35" t="s">
        <v>379</v>
      </c>
      <c r="I12" t="s">
        <v>380</v>
      </c>
      <c r="L12" s="35" t="s">
        <v>375</v>
      </c>
      <c r="M12" s="35" t="s">
        <v>354</v>
      </c>
      <c r="N12" s="35" t="s">
        <v>354</v>
      </c>
      <c r="O12" s="35" t="s">
        <v>452</v>
      </c>
      <c r="P12" s="35" t="s">
        <v>453</v>
      </c>
      <c r="Q12" s="35" t="s">
        <v>354</v>
      </c>
      <c r="R12" s="35" t="s">
        <v>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2farm_perc</vt:lpstr>
      <vt:lpstr>ratio</vt:lpstr>
      <vt:lpstr>day0</vt:lpstr>
      <vt:lpstr>perc_unit</vt:lpstr>
      <vt:lpstr>initial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2025-08-21T07:07:50Z</dcterms:created>
  <dcterms:modified xsi:type="dcterms:W3CDTF">2026-04-12T19:30:32Z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1214426260996358187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