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841A6B71-1187-4862-A189-3065B41866B7}" xr6:coauthVersionLast="47" xr6:coauthVersionMax="47" xr10:uidLastSave="{00000000-0000-0000-0000-000000000000}"/>
  <bookViews>
    <workbookView xWindow="-23148" yWindow="900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M13" i="1"/>
  <c r="G13" i="1"/>
  <c r="D13" i="1"/>
  <c r="Q12" i="1"/>
  <c r="P12" i="1"/>
  <c r="O12" i="1"/>
  <c r="N12" i="1"/>
  <c r="M12" i="1"/>
  <c r="G12" i="1"/>
  <c r="D12" i="1"/>
  <c r="Q11" i="1"/>
  <c r="P11" i="1"/>
  <c r="O11" i="1"/>
  <c r="N11" i="1"/>
  <c r="M11" i="1"/>
  <c r="G11" i="1"/>
  <c r="D11" i="1"/>
  <c r="Q10" i="1"/>
  <c r="P10" i="1"/>
  <c r="O10" i="1"/>
  <c r="N10" i="1"/>
  <c r="M10" i="1"/>
  <c r="G10" i="1"/>
  <c r="D10" i="1"/>
  <c r="Q9" i="1"/>
  <c r="P9" i="1"/>
  <c r="O9" i="1"/>
  <c r="N9" i="1"/>
  <c r="M9" i="1"/>
  <c r="G9" i="1"/>
  <c r="D9" i="1"/>
  <c r="Q8" i="1"/>
  <c r="P8" i="1"/>
  <c r="O8" i="1"/>
  <c r="N8" i="1"/>
  <c r="M8" i="1"/>
  <c r="G8" i="1"/>
  <c r="D8" i="1"/>
  <c r="Q7" i="1"/>
  <c r="P7" i="1"/>
  <c r="O7" i="1"/>
  <c r="N7" i="1"/>
  <c r="M7" i="1"/>
  <c r="G7" i="1"/>
  <c r="D7" i="1"/>
  <c r="Q6" i="1"/>
  <c r="P6" i="1"/>
  <c r="O6" i="1"/>
  <c r="N6" i="1"/>
  <c r="M6" i="1"/>
  <c r="G6" i="1"/>
  <c r="D6" i="1"/>
  <c r="Q5" i="1"/>
  <c r="P5" i="1"/>
  <c r="O5" i="1"/>
  <c r="N5" i="1"/>
  <c r="M5" i="1"/>
  <c r="G5" i="1"/>
  <c r="D5" i="1"/>
  <c r="Q4" i="1"/>
  <c r="P4" i="1"/>
  <c r="O4" i="1"/>
  <c r="N4" i="1"/>
  <c r="M4" i="1"/>
  <c r="G4" i="1"/>
  <c r="D4" i="1"/>
  <c r="Q3" i="1"/>
  <c r="P3" i="1"/>
  <c r="O3" i="1"/>
  <c r="N3" i="1"/>
  <c r="M3" i="1"/>
  <c r="G3" i="1"/>
  <c r="D3" i="1"/>
  <c r="Q2" i="1"/>
  <c r="P2" i="1"/>
  <c r="O2" i="1"/>
  <c r="N2" i="1"/>
  <c r="M2" i="1"/>
  <c r="G2" i="1"/>
  <c r="D2" i="1"/>
</calcChain>
</file>

<file path=xl/sharedStrings.xml><?xml version="1.0" encoding="utf-8"?>
<sst xmlns="http://schemas.openxmlformats.org/spreadsheetml/2006/main" count="29" uniqueCount="23">
  <si>
    <t>Treatment</t>
  </si>
  <si>
    <t>Replicate</t>
  </si>
  <si>
    <t>TS</t>
  </si>
  <si>
    <t>VS</t>
  </si>
  <si>
    <t>TAN</t>
  </si>
  <si>
    <t>TKN</t>
  </si>
  <si>
    <t>CP</t>
  </si>
  <si>
    <t>pH</t>
  </si>
  <si>
    <t>VFAs</t>
  </si>
  <si>
    <t>Acetic</t>
  </si>
  <si>
    <t>Propionic</t>
  </si>
  <si>
    <t>Butanoic</t>
  </si>
  <si>
    <t>NDF</t>
  </si>
  <si>
    <t>Hemicellulose</t>
  </si>
  <si>
    <t>Cellulose</t>
  </si>
  <si>
    <t>Lignin</t>
  </si>
  <si>
    <t>Lipids</t>
  </si>
  <si>
    <t>AC</t>
  </si>
  <si>
    <t>AW</t>
  </si>
  <si>
    <t>BC</t>
  </si>
  <si>
    <t>BW</t>
  </si>
  <si>
    <t>CW</t>
  </si>
  <si>
    <t>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</si>
</sst>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752522\github\PIGMET\lab\Fyrkat_klim\OM\data\rawfarm.xlsx" TargetMode="External"/><Relationship Id="rId1" Type="http://schemas.openxmlformats.org/officeDocument/2006/relationships/externalLinkPath" Target="rawfa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farm_perc"/>
      <sheetName val="ratio"/>
      <sheetName val="day0"/>
      <sheetName val="perc_unit"/>
      <sheetName val="initial"/>
      <sheetName val="Sheet1"/>
      <sheetName val="2farm"/>
      <sheetName val="2farm_new"/>
      <sheetName val="Fyrkatorigin"/>
    </sheetNames>
    <sheetDataSet>
      <sheetData sheetId="0"/>
      <sheetData sheetId="1"/>
      <sheetData sheetId="2">
        <row r="2">
          <cell r="C2">
            <v>63.4</v>
          </cell>
          <cell r="D2">
            <v>48.85307908721478</v>
          </cell>
          <cell r="G2">
            <v>10.550511050317565</v>
          </cell>
          <cell r="M2">
            <v>28.05738852915691</v>
          </cell>
          <cell r="N2">
            <v>14.696383322208515</v>
          </cell>
          <cell r="O2">
            <v>10.696473063050691</v>
          </cell>
          <cell r="P2">
            <v>2.6645321438977043</v>
          </cell>
          <cell r="Q2">
            <v>7.0311861489493097</v>
          </cell>
        </row>
        <row r="3">
          <cell r="C3">
            <v>67.2</v>
          </cell>
          <cell r="D3">
            <v>51.901116902457197</v>
          </cell>
          <cell r="G3">
            <v>9.2938566173414277</v>
          </cell>
          <cell r="M3">
            <v>32.379985750512745</v>
          </cell>
          <cell r="N3">
            <v>16.794204083900794</v>
          </cell>
          <cell r="O3">
            <v>12.396431739718844</v>
          </cell>
          <cell r="P3">
            <v>3.1893499268931063</v>
          </cell>
          <cell r="Q3">
            <v>8.4876337375396496</v>
          </cell>
        </row>
        <row r="4">
          <cell r="C4">
            <v>67</v>
          </cell>
          <cell r="D4">
            <v>52.132700000000007</v>
          </cell>
          <cell r="G4">
            <v>9.5338842956537437</v>
          </cell>
          <cell r="M4">
            <v>33.071354621855704</v>
          </cell>
          <cell r="N4">
            <v>17.381327966908778</v>
          </cell>
          <cell r="O4">
            <v>12.961871984971536</v>
          </cell>
          <cell r="P4">
            <v>2.728154669975392</v>
          </cell>
          <cell r="Q4">
            <v>7.6506129417083697</v>
          </cell>
        </row>
        <row r="5">
          <cell r="C5">
            <v>61.9</v>
          </cell>
          <cell r="D5">
            <v>47.30398000000001</v>
          </cell>
          <cell r="G5">
            <v>9.5316929593923483</v>
          </cell>
          <cell r="M5">
            <v>27.089739207048673</v>
          </cell>
          <cell r="N5">
            <v>14.317672496613591</v>
          </cell>
          <cell r="O5">
            <v>10.42008367406449</v>
          </cell>
          <cell r="P5">
            <v>2.3519830363705956</v>
          </cell>
          <cell r="Q5">
            <v>7.7513748796278712</v>
          </cell>
        </row>
        <row r="6">
          <cell r="C6">
            <v>50.7600184246891</v>
          </cell>
          <cell r="D6">
            <v>38.231229847996303</v>
          </cell>
          <cell r="G6">
            <v>9.7432118547929694</v>
          </cell>
          <cell r="M6">
            <v>19.302971355598071</v>
          </cell>
          <cell r="N6">
            <v>11.494051594187194</v>
          </cell>
          <cell r="O6">
            <v>5.9682303979723095</v>
          </cell>
          <cell r="P6">
            <v>1.8406893634385653</v>
          </cell>
          <cell r="Q6">
            <v>5.6876133997578613</v>
          </cell>
        </row>
        <row r="7">
          <cell r="C7">
            <v>50.883414273977998</v>
          </cell>
          <cell r="D7">
            <v>38.279552001331098</v>
          </cell>
          <cell r="G7">
            <v>9.7537582948644008</v>
          </cell>
          <cell r="M7">
            <v>18.209732900107085</v>
          </cell>
          <cell r="N7">
            <v>11.010893692104425</v>
          </cell>
          <cell r="O7">
            <v>5.4692062475450323</v>
          </cell>
          <cell r="P7">
            <v>1.7296329604576266</v>
          </cell>
          <cell r="Q7">
            <v>6.000777729789891</v>
          </cell>
        </row>
        <row r="8">
          <cell r="C8">
            <v>53.192450103856203</v>
          </cell>
          <cell r="D8">
            <v>39.981421991717305</v>
          </cell>
          <cell r="G8">
            <v>12.970089933073099</v>
          </cell>
          <cell r="M8">
            <v>19.139124235070948</v>
          </cell>
          <cell r="N8">
            <v>11.123030419109323</v>
          </cell>
          <cell r="O8">
            <v>6.1739375156876379</v>
          </cell>
          <cell r="P8">
            <v>1.8421563002739865</v>
          </cell>
          <cell r="Q8">
            <v>6.1131239375236204</v>
          </cell>
        </row>
        <row r="9">
          <cell r="C9">
            <v>50.235988542669297</v>
          </cell>
          <cell r="D9">
            <v>37.688587895585194</v>
          </cell>
          <cell r="G9">
            <v>10.3471640091116</v>
          </cell>
          <cell r="M9">
            <v>18.126535271419254</v>
          </cell>
          <cell r="N9">
            <v>10.717040903395663</v>
          </cell>
          <cell r="O9">
            <v>5.6781527487783254</v>
          </cell>
          <cell r="P9">
            <v>1.7313416192452677</v>
          </cell>
          <cell r="Q9">
            <v>5.4941913376009595</v>
          </cell>
        </row>
        <row r="10">
          <cell r="C10">
            <v>66.03548886507086</v>
          </cell>
          <cell r="D10">
            <v>48.782303203525061</v>
          </cell>
          <cell r="G10">
            <v>10.91189180783968</v>
          </cell>
          <cell r="M10">
            <v>22.467287933324041</v>
          </cell>
          <cell r="N10">
            <v>13.057609132685757</v>
          </cell>
          <cell r="O10">
            <v>7.0800844791394812</v>
          </cell>
          <cell r="P10">
            <v>2.3295943214988055</v>
          </cell>
          <cell r="Q10">
            <v>8.6595303961666161</v>
          </cell>
        </row>
        <row r="11">
          <cell r="C11">
            <v>67.042346896494564</v>
          </cell>
          <cell r="D11">
            <v>50.184091205057477</v>
          </cell>
          <cell r="G11">
            <v>14.285289485060368</v>
          </cell>
          <cell r="M11">
            <v>20.950702830121791</v>
          </cell>
          <cell r="N11">
            <v>12.211326584944027</v>
          </cell>
          <cell r="O11">
            <v>6.4330828512732978</v>
          </cell>
          <cell r="P11">
            <v>2.3062933939044648</v>
          </cell>
          <cell r="Q11">
            <v>8.2261131750981118</v>
          </cell>
        </row>
        <row r="12">
          <cell r="C12">
            <v>58.192826414988232</v>
          </cell>
          <cell r="D12">
            <v>44.940345089365209</v>
          </cell>
          <cell r="G12">
            <v>7.3835967969746701</v>
          </cell>
          <cell r="M12">
            <v>22.300060128263841</v>
          </cell>
          <cell r="N12">
            <v>12.711452256640005</v>
          </cell>
          <cell r="O12">
            <v>6.9828935577458173</v>
          </cell>
          <cell r="P12">
            <v>2.6057143138780221</v>
          </cell>
          <cell r="Q12">
            <v>6.8559836734133146</v>
          </cell>
        </row>
        <row r="13">
          <cell r="C13">
            <v>57.571904679342708</v>
          </cell>
          <cell r="D13">
            <v>44.260147565932691</v>
          </cell>
          <cell r="G13">
            <v>7.0471036966467118</v>
          </cell>
          <cell r="M13">
            <v>23.982161724465403</v>
          </cell>
          <cell r="N13">
            <v>13.573280517561436</v>
          </cell>
          <cell r="O13">
            <v>7.7037020399965686</v>
          </cell>
          <cell r="P13">
            <v>2.7051791669073975</v>
          </cell>
          <cell r="Q13">
            <v>6.6741013987790998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Q14"/>
  <sheetViews>
    <sheetView tabSelected="1" workbookViewId="0">
      <selection activeCell="J17" sqref="J17"/>
    </sheetView>
  </sheetViews>
  <sheetFormatPr defaultRowHeight="15" x14ac:dyDescent="0.25"/>
  <cols>
    <col min="12" max="12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>
        <v>1</v>
      </c>
      <c r="C2" s="1">
        <v>63.4</v>
      </c>
      <c r="D2">
        <f>[1]day0!D2/[1]day0!$C2*1000</f>
        <v>770.55329790559585</v>
      </c>
      <c r="E2" s="1">
        <v>3.8352380952380951</v>
      </c>
      <c r="F2" s="1">
        <v>5.523319863288906</v>
      </c>
      <c r="G2">
        <f>[1]day0!G2/[1]day0!$C2*1000</f>
        <v>166.41184621951996</v>
      </c>
      <c r="H2" s="1">
        <v>8.64</v>
      </c>
      <c r="I2" s="1">
        <v>5.3369126000000007</v>
      </c>
      <c r="J2" s="1">
        <v>3.5046007000000001</v>
      </c>
      <c r="K2" s="1">
        <v>0.94217060000000008</v>
      </c>
      <c r="L2" s="1">
        <v>0.5697085999999999</v>
      </c>
      <c r="M2">
        <f>[1]day0!M2/[1]day0!$C2*1000</f>
        <v>442.5455603967967</v>
      </c>
      <c r="N2">
        <f>[1]day0!N2/[1]day0!$C2*1000</f>
        <v>231.80415334713746</v>
      </c>
      <c r="O2">
        <f>[1]day0!O2/[1]day0!$C2*1000</f>
        <v>168.71408616799198</v>
      </c>
      <c r="P2">
        <f>[1]day0!P2/[1]day0!$C2*1000</f>
        <v>42.027320881667258</v>
      </c>
      <c r="Q2">
        <f>[1]day0!Q2/[1]day0!$C2*1000</f>
        <v>110.90198973106168</v>
      </c>
    </row>
    <row r="3" spans="1:17" x14ac:dyDescent="0.25">
      <c r="A3" s="1" t="s">
        <v>17</v>
      </c>
      <c r="B3" s="1">
        <v>2</v>
      </c>
      <c r="C3" s="1">
        <v>67.2</v>
      </c>
      <c r="D3">
        <f>[1]day0!D3/[1]day0!$C3*1000</f>
        <v>772.3380491437083</v>
      </c>
      <c r="E3" s="1">
        <v>3.676605316973415</v>
      </c>
      <c r="F3" s="1">
        <v>5.1636223757480444</v>
      </c>
      <c r="G3">
        <f>[1]day0!G3/[1]day0!$C3*1000</f>
        <v>138.30143775805695</v>
      </c>
      <c r="H3" s="1">
        <v>8.51</v>
      </c>
      <c r="I3" s="1">
        <v>5.7946133</v>
      </c>
      <c r="J3" s="1">
        <v>3.9305212000000003</v>
      </c>
      <c r="K3" s="1">
        <v>0.99038530000000002</v>
      </c>
      <c r="L3" s="1">
        <v>0.59438950000000002</v>
      </c>
      <c r="M3">
        <f>[1]day0!M3/[1]day0!$C3*1000</f>
        <v>481.84502604929679</v>
      </c>
      <c r="N3">
        <f>[1]day0!N3/[1]day0!$C3*1000</f>
        <v>249.91375124852371</v>
      </c>
      <c r="O3">
        <f>[1]day0!O3/[1]day0!$C3*1000</f>
        <v>184.47071041248279</v>
      </c>
      <c r="P3">
        <f>[1]day0!P3/[1]day0!$C3*1000</f>
        <v>47.460564388290273</v>
      </c>
      <c r="Q3">
        <f>[1]day0!Q3/[1]day0!$C3*1000</f>
        <v>126.30407347529241</v>
      </c>
    </row>
    <row r="4" spans="1:17" x14ac:dyDescent="0.25">
      <c r="A4" s="1" t="s">
        <v>18</v>
      </c>
      <c r="B4" s="1">
        <v>1</v>
      </c>
      <c r="C4" s="1">
        <v>67</v>
      </c>
      <c r="D4">
        <f>[1]day0!D4/[1]day0!$C4*1000</f>
        <v>778.10000000000014</v>
      </c>
      <c r="E4" s="1">
        <v>3.6547670961347869</v>
      </c>
      <c r="F4" s="1">
        <v>5.1801885834393868</v>
      </c>
      <c r="G4">
        <f>[1]day0!G4/[1]day0!$C4*1000</f>
        <v>142.29678053214542</v>
      </c>
      <c r="H4" s="1">
        <v>8.59</v>
      </c>
      <c r="I4" s="1">
        <v>5.0885243000000004</v>
      </c>
      <c r="J4" s="1">
        <v>3.5539512999999996</v>
      </c>
      <c r="K4" s="1">
        <v>0.87628200000000001</v>
      </c>
      <c r="L4" s="1">
        <v>0.59864030000000001</v>
      </c>
      <c r="M4">
        <f>[1]day0!M4/[1]day0!$C4*1000</f>
        <v>493.6023077888911</v>
      </c>
      <c r="N4">
        <f>[1]day0!N4/[1]day0!$C4*1000</f>
        <v>259.4228054762504</v>
      </c>
      <c r="O4">
        <f>[1]day0!O4/[1]day0!$C4*1000</f>
        <v>193.46077589509756</v>
      </c>
      <c r="P4">
        <f>[1]day0!P4/[1]day0!$C4*1000</f>
        <v>40.718726417543166</v>
      </c>
      <c r="Q4">
        <f>[1]day0!Q4/[1]day0!$C4*1000</f>
        <v>114.18825286131894</v>
      </c>
    </row>
    <row r="5" spans="1:17" x14ac:dyDescent="0.25">
      <c r="A5" s="1" t="s">
        <v>18</v>
      </c>
      <c r="B5" s="1">
        <v>2</v>
      </c>
      <c r="C5" s="1">
        <v>61.9</v>
      </c>
      <c r="D5">
        <f>[1]day0!D5/[1]day0!$C5*1000</f>
        <v>764.20000000000016</v>
      </c>
      <c r="E5" s="1">
        <v>3.8160869565217395</v>
      </c>
      <c r="F5" s="1">
        <v>5.3411578300245157</v>
      </c>
      <c r="G5">
        <f>[1]day0!G5/[1]day0!$C5*1000</f>
        <v>153.98534667839013</v>
      </c>
      <c r="H5" s="1">
        <v>8.6199999999999992</v>
      </c>
      <c r="I5" s="1">
        <v>5.1904127000000004</v>
      </c>
      <c r="J5" s="1">
        <v>3.4399598999999998</v>
      </c>
      <c r="K5" s="1">
        <v>0.84399429999999998</v>
      </c>
      <c r="L5" s="1">
        <v>0.55140880000000003</v>
      </c>
      <c r="M5">
        <f>[1]day0!M5/[1]day0!$C5*1000</f>
        <v>437.63714389416276</v>
      </c>
      <c r="N5">
        <f>[1]day0!N5/[1]day0!$C5*1000</f>
        <v>231.303271350785</v>
      </c>
      <c r="O5">
        <f>[1]day0!O5/[1]day0!$C5*1000</f>
        <v>168.33737761008868</v>
      </c>
      <c r="P5">
        <f>[1]day0!P5/[1]day0!$C5*1000</f>
        <v>37.996494933289107</v>
      </c>
      <c r="Q5">
        <f>[1]day0!Q5/[1]day0!$C5*1000</f>
        <v>125.22414991321278</v>
      </c>
    </row>
    <row r="6" spans="1:17" x14ac:dyDescent="0.25">
      <c r="A6" s="1" t="s">
        <v>19</v>
      </c>
      <c r="B6" s="1">
        <v>1</v>
      </c>
      <c r="C6" s="1">
        <v>50.7600184246891</v>
      </c>
      <c r="D6">
        <f>[1]day0!D6/[1]day0!$C6*1000</f>
        <v>753.17604355716833</v>
      </c>
      <c r="E6" s="1">
        <v>2.8</v>
      </c>
      <c r="F6" s="1">
        <v>4.3589138967668797</v>
      </c>
      <c r="G6">
        <f>[1]day0!G6/[1]day0!$C6*1000</f>
        <v>191.94657837346216</v>
      </c>
      <c r="H6" s="1">
        <v>7.63</v>
      </c>
      <c r="I6" s="1">
        <v>7.0630252999999996</v>
      </c>
      <c r="J6" s="1">
        <v>3.9584961000000001</v>
      </c>
      <c r="K6" s="1">
        <v>1.1904813000000001</v>
      </c>
      <c r="L6" s="1">
        <v>1.4092515999999999</v>
      </c>
      <c r="M6">
        <f>[1]day0!M6/[1]day0!$C6*1000</f>
        <v>380.27904549004899</v>
      </c>
      <c r="N6">
        <f>[1]day0!N6/[1]day0!$C6*1000</f>
        <v>226.4390745098039</v>
      </c>
      <c r="O6">
        <f>[1]day0!O6/[1]day0!$C6*1000</f>
        <v>117.57738833028928</v>
      </c>
      <c r="P6">
        <f>[1]day0!P6/[1]day0!$C6*1000</f>
        <v>36.262582649955753</v>
      </c>
      <c r="Q6">
        <f>[1]day0!Q6/[1]day0!$C6*1000</f>
        <v>112.04908067944022</v>
      </c>
    </row>
    <row r="7" spans="1:17" x14ac:dyDescent="0.25">
      <c r="A7" s="1" t="s">
        <v>19</v>
      </c>
      <c r="B7" s="1">
        <v>2</v>
      </c>
      <c r="C7" s="1">
        <v>50.883414273977998</v>
      </c>
      <c r="D7">
        <f>[1]day0!D7/[1]day0!$C7*1000</f>
        <v>752.29920294298006</v>
      </c>
      <c r="E7" s="1">
        <v>2.75</v>
      </c>
      <c r="F7" s="1">
        <v>4.3106013271782997</v>
      </c>
      <c r="G7">
        <f>[1]day0!G7/[1]day0!$C7*1000</f>
        <v>191.6883612083499</v>
      </c>
      <c r="H7" s="1">
        <v>7.66</v>
      </c>
      <c r="I7" s="1">
        <v>7.1702861999999996</v>
      </c>
      <c r="J7" s="1">
        <v>4.0507643</v>
      </c>
      <c r="K7" s="1">
        <v>1.2184716</v>
      </c>
      <c r="L7" s="1">
        <v>1.4249772000000001</v>
      </c>
      <c r="M7">
        <f>[1]day0!M7/[1]day0!$C7*1000</f>
        <v>357.87167901230288</v>
      </c>
      <c r="N7">
        <f>[1]day0!N7/[1]day0!$C7*1000</f>
        <v>216.39455310166645</v>
      </c>
      <c r="O7">
        <f>[1]day0!O7/[1]day0!$C7*1000</f>
        <v>107.48504843044718</v>
      </c>
      <c r="P7">
        <f>[1]day0!P7/[1]day0!$C7*1000</f>
        <v>33.992077480189231</v>
      </c>
      <c r="Q7">
        <f>[1]day0!Q7/[1]day0!$C7*1000</f>
        <v>117.93190011737705</v>
      </c>
    </row>
    <row r="8" spans="1:17" x14ac:dyDescent="0.25">
      <c r="A8" s="1" t="s">
        <v>20</v>
      </c>
      <c r="B8" s="1">
        <v>1</v>
      </c>
      <c r="C8" s="1">
        <v>53.192450103856203</v>
      </c>
      <c r="D8">
        <f>[1]day0!D8/[1]day0!$C8*1000</f>
        <v>751.63715740965358</v>
      </c>
      <c r="E8" s="1">
        <v>2.2999999999999998</v>
      </c>
      <c r="F8" s="1">
        <v>4.3752143892916902</v>
      </c>
      <c r="G8">
        <f>[1]day0!G8/[1]day0!$C8*1000</f>
        <v>243.83328663653396</v>
      </c>
      <c r="H8" s="1">
        <v>7.61</v>
      </c>
      <c r="I8" s="1">
        <v>8.3351585000000004</v>
      </c>
      <c r="J8" s="1">
        <v>4.7032018999999998</v>
      </c>
      <c r="K8" s="1">
        <v>1.2491827</v>
      </c>
      <c r="L8" s="1">
        <v>1.6430943</v>
      </c>
      <c r="M8">
        <f>[1]day0!M8/[1]day0!$C8*1000</f>
        <v>359.80903676560393</v>
      </c>
      <c r="N8">
        <f>[1]day0!N8/[1]day0!$C8*1000</f>
        <v>209.10919495890931</v>
      </c>
      <c r="O8">
        <f>[1]day0!O8/[1]day0!$C8*1000</f>
        <v>116.06792888150976</v>
      </c>
      <c r="P8">
        <f>[1]day0!P8/[1]day0!$C8*1000</f>
        <v>34.631912925184828</v>
      </c>
      <c r="Q8">
        <f>[1]day0!Q8/[1]day0!$C8*1000</f>
        <v>114.9246542617981</v>
      </c>
    </row>
    <row r="9" spans="1:17" x14ac:dyDescent="0.25">
      <c r="A9" s="1" t="s">
        <v>20</v>
      </c>
      <c r="B9" s="1">
        <v>2</v>
      </c>
      <c r="C9" s="1">
        <v>50.235988542669297</v>
      </c>
      <c r="D9">
        <f>[1]day0!D9/[1]day0!$C9*1000</f>
        <v>750.23084025854041</v>
      </c>
      <c r="E9" s="1">
        <v>2.7</v>
      </c>
      <c r="F9" s="1">
        <v>4.3555462414578603</v>
      </c>
      <c r="G9">
        <f>[1]day0!G9/[1]day0!$C9*1000</f>
        <v>205.97114358211454</v>
      </c>
      <c r="H9" s="1">
        <v>7.73</v>
      </c>
      <c r="I9" s="1">
        <v>7.4787248000000002</v>
      </c>
      <c r="J9" s="1">
        <v>4.1034248</v>
      </c>
      <c r="K9" s="1">
        <v>1.1612783</v>
      </c>
      <c r="L9" s="1">
        <v>1.5526472</v>
      </c>
      <c r="M9">
        <f>[1]day0!M9/[1]day0!$C9*1000</f>
        <v>360.82768145436194</v>
      </c>
      <c r="N9">
        <f>[1]day0!N9/[1]day0!$C9*1000</f>
        <v>213.33393079928854</v>
      </c>
      <c r="O9">
        <f>[1]day0!O9/[1]day0!$C9*1000</f>
        <v>113.029581252401</v>
      </c>
      <c r="P9">
        <f>[1]day0!P9/[1]day0!$C9*1000</f>
        <v>34.464169402672468</v>
      </c>
      <c r="Q9">
        <f>[1]day0!Q9/[1]day0!$C9*1000</f>
        <v>109.36763656863882</v>
      </c>
    </row>
    <row r="10" spans="1:17" x14ac:dyDescent="0.25">
      <c r="A10" s="1" t="s">
        <v>21</v>
      </c>
      <c r="B10" s="1">
        <v>1</v>
      </c>
      <c r="C10" s="1">
        <v>66.03548886507086</v>
      </c>
      <c r="D10">
        <f>[1]day0!D10/[1]day0!$C10*1000</f>
        <v>738.72858431018915</v>
      </c>
      <c r="E10" s="1">
        <v>4.4538706256627787</v>
      </c>
      <c r="F10" s="2">
        <v>6.1997733149171275</v>
      </c>
      <c r="G10">
        <f>[1]day0!G10/[1]day0!$C10*1000</f>
        <v>165.24284131727646</v>
      </c>
      <c r="H10" s="1">
        <v>8.25</v>
      </c>
      <c r="I10" s="3">
        <v>7.3253436000000001</v>
      </c>
      <c r="J10" s="3">
        <v>4.3298718999999997</v>
      </c>
      <c r="K10" s="3">
        <v>1.3645734999999999</v>
      </c>
      <c r="L10" s="3">
        <v>0.25858390000000003</v>
      </c>
      <c r="M10">
        <f>[1]day0!M10/[1]day0!$C10*1000</f>
        <v>340.23050816252839</v>
      </c>
      <c r="N10">
        <f>[1]day0!N10/[1]day0!$C10*1000</f>
        <v>197.73623784880488</v>
      </c>
      <c r="O10">
        <f>[1]day0!O10/[1]day0!$C10*1000</f>
        <v>107.21635594469653</v>
      </c>
      <c r="P10">
        <f>[1]day0!P10/[1]day0!$C10*1000</f>
        <v>35.277914369026995</v>
      </c>
      <c r="Q10">
        <f>[1]day0!Q10/[1]day0!$C10*1000</f>
        <v>131.13449366386126</v>
      </c>
    </row>
    <row r="11" spans="1:17" x14ac:dyDescent="0.25">
      <c r="A11" s="1" t="s">
        <v>21</v>
      </c>
      <c r="B11" s="1">
        <v>2</v>
      </c>
      <c r="C11" s="1">
        <v>67.042346896494564</v>
      </c>
      <c r="D11">
        <f>[1]day0!D11/[1]day0!$C11*1000</f>
        <v>748.54317499558545</v>
      </c>
      <c r="E11" s="1">
        <v>3.9400665926748055</v>
      </c>
      <c r="F11" s="2">
        <v>6.2257129102844644</v>
      </c>
      <c r="G11">
        <f>[1]day0!G11/[1]day0!$C11*1000</f>
        <v>213.0786010089289</v>
      </c>
      <c r="H11" s="1">
        <v>8.75</v>
      </c>
      <c r="I11" s="3">
        <v>5.5459709000000013</v>
      </c>
      <c r="J11" s="3">
        <v>2.8123111000000001</v>
      </c>
      <c r="K11" s="3">
        <v>1.2797544999999999</v>
      </c>
      <c r="L11" s="3">
        <v>0.2380726</v>
      </c>
      <c r="M11">
        <f>[1]day0!M11/[1]day0!$C11*1000</f>
        <v>312.49954394447428</v>
      </c>
      <c r="N11">
        <f>[1]day0!N11/[1]day0!$C11*1000</f>
        <v>182.14348318976465</v>
      </c>
      <c r="O11">
        <f>[1]day0!O11/[1]day0!$C11*1000</f>
        <v>95.955513926223603</v>
      </c>
      <c r="P11">
        <f>[1]day0!P11/[1]day0!$C11*1000</f>
        <v>34.400546828486007</v>
      </c>
      <c r="Q11">
        <f>[1]day0!Q11/[1]day0!$C11*1000</f>
        <v>122.70025671682191</v>
      </c>
    </row>
    <row r="12" spans="1:17" x14ac:dyDescent="0.25">
      <c r="A12" s="1" t="s">
        <v>22</v>
      </c>
      <c r="B12" s="1">
        <v>1</v>
      </c>
      <c r="C12" s="1">
        <v>58.192826414988232</v>
      </c>
      <c r="D12">
        <f>[1]day0!D12/[1]day0!$C12*1000</f>
        <v>772.26606538895157</v>
      </c>
      <c r="E12" s="1">
        <v>3.6666666666666665</v>
      </c>
      <c r="F12" s="2">
        <v>4.8480421541826137</v>
      </c>
      <c r="G12">
        <f>[1]day0!G12/[1]day0!$C12*1000</f>
        <v>126.88156344770599</v>
      </c>
      <c r="H12" s="1">
        <v>8.23</v>
      </c>
      <c r="I12" s="3">
        <v>7.8243480000000005</v>
      </c>
      <c r="J12" s="3">
        <v>4.4334476</v>
      </c>
      <c r="K12" s="3">
        <v>1.3308895000000001</v>
      </c>
      <c r="L12" s="3">
        <v>0.279889</v>
      </c>
      <c r="M12">
        <f>[1]day0!M12/[1]day0!$C12*1000</f>
        <v>383.20977862866278</v>
      </c>
      <c r="N12">
        <f>[1]day0!N12/[1]day0!$C12*1000</f>
        <v>218.43675655125119</v>
      </c>
      <c r="O12">
        <f>[1]day0!O12/[1]day0!$C12*1000</f>
        <v>119.99577934140852</v>
      </c>
      <c r="P12">
        <f>[1]day0!P12/[1]day0!$C12*1000</f>
        <v>44.777242736003117</v>
      </c>
      <c r="Q12">
        <f>[1]day0!Q12/[1]day0!$C12*1000</f>
        <v>117.81492833019496</v>
      </c>
    </row>
    <row r="13" spans="1:17" x14ac:dyDescent="0.25">
      <c r="A13" s="1" t="s">
        <v>22</v>
      </c>
      <c r="B13" s="1">
        <v>2</v>
      </c>
      <c r="C13" s="1">
        <v>57.571904679342708</v>
      </c>
      <c r="D13">
        <f>[1]day0!D13/[1]day0!$C13*1000</f>
        <v>768.78032457754705</v>
      </c>
      <c r="E13" s="1">
        <v>3.6809815950920246</v>
      </c>
      <c r="F13" s="2">
        <v>4.8085181865554985</v>
      </c>
      <c r="G13">
        <f>[1]day0!G13/[1]day0!$C13*1000</f>
        <v>122.40525540881181</v>
      </c>
      <c r="H13" s="1">
        <v>8.24</v>
      </c>
      <c r="I13" s="3">
        <v>7.7468418000000021</v>
      </c>
      <c r="J13" s="3">
        <v>4.3844021</v>
      </c>
      <c r="K13" s="3">
        <v>1.3110832000000001</v>
      </c>
      <c r="L13" s="3">
        <v>0.26892460000000001</v>
      </c>
      <c r="M13">
        <f>[1]day0!M13/[1]day0!$C13*1000</f>
        <v>416.56015825841536</v>
      </c>
      <c r="N13">
        <f>[1]day0!N13/[1]day0!$C13*1000</f>
        <v>235.76222800270918</v>
      </c>
      <c r="O13">
        <f>[1]day0!O13/[1]day0!$C13*1000</f>
        <v>133.81009509592832</v>
      </c>
      <c r="P13">
        <f>[1]day0!P13/[1]day0!$C13*1000</f>
        <v>46.987835159777838</v>
      </c>
      <c r="Q13">
        <f>[1]day0!Q13/[1]day0!$C13*1000</f>
        <v>115.92636088647289</v>
      </c>
    </row>
    <row r="14" spans="1:17" x14ac:dyDescent="0.25">
      <c r="I14" s="4"/>
      <c r="J14" s="4"/>
      <c r="K14" s="4"/>
      <c r="L14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2025-12-14T12:54:31Z</dcterms:created>
  <dcterms:modified xsi:type="dcterms:W3CDTF">2026-05-16T10:47:49Z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1214426260996358187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