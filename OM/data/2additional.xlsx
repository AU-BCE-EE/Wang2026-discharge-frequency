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u752522\github\PIGMET\lab\Fyrkat_klim\OM\data\"/>
    </mc:Choice>
  </mc:AlternateContent>
  <xr:revisionPtr revIDLastSave="0" documentId="13_ncr:1_{0D101B10-25F2-4AA7-9566-284586F95F9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2add" sheetId="4" r:id="rId1"/>
    <sheet name="raw" sheetId="2" r:id="rId2"/>
    <sheet name="Ark1" sheetId="1" r:id="rId3"/>
    <sheet name="Sheet2" sheetId="3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1" l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W11" i="1"/>
  <c r="X11" i="1"/>
  <c r="W12" i="1"/>
  <c r="X12" i="1"/>
  <c r="V11" i="1"/>
  <c r="V12" i="1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L4" i="4"/>
  <c r="L3" i="4"/>
  <c r="L2" i="4"/>
  <c r="M20" i="2"/>
  <c r="I41" i="3"/>
  <c r="I31" i="3" s="1"/>
  <c r="J31" i="3" s="1"/>
  <c r="I40" i="3"/>
  <c r="I39" i="3"/>
  <c r="I32" i="3"/>
  <c r="J32" i="3" s="1"/>
  <c r="I26" i="3"/>
  <c r="J26" i="3" s="1"/>
  <c r="I20" i="3"/>
  <c r="J20" i="3" s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2" i="2"/>
  <c r="Q22" i="2"/>
  <c r="M22" i="2"/>
  <c r="J22" i="2"/>
  <c r="S21" i="2"/>
  <c r="V21" i="2" s="1"/>
  <c r="Q21" i="2"/>
  <c r="M21" i="2"/>
  <c r="J21" i="2"/>
  <c r="S20" i="2"/>
  <c r="Q20" i="2"/>
  <c r="J20" i="2"/>
  <c r="S19" i="2"/>
  <c r="Q19" i="2"/>
  <c r="M19" i="2"/>
  <c r="J19" i="2"/>
  <c r="S18" i="2"/>
  <c r="V18" i="2" s="1"/>
  <c r="Q18" i="2"/>
  <c r="M18" i="2"/>
  <c r="J18" i="2"/>
  <c r="S17" i="2"/>
  <c r="V17" i="2" s="1"/>
  <c r="Q17" i="2"/>
  <c r="M17" i="2"/>
  <c r="J17" i="2"/>
  <c r="S16" i="2"/>
  <c r="V16" i="2" s="1"/>
  <c r="Q16" i="2"/>
  <c r="M16" i="2"/>
  <c r="J16" i="2"/>
  <c r="S15" i="2"/>
  <c r="V15" i="2" s="1"/>
  <c r="Q15" i="2"/>
  <c r="M15" i="2"/>
  <c r="J15" i="2"/>
  <c r="S14" i="2"/>
  <c r="Q14" i="2"/>
  <c r="M14" i="2"/>
  <c r="J14" i="2"/>
  <c r="S13" i="2"/>
  <c r="V13" i="2" s="1"/>
  <c r="Q13" i="2"/>
  <c r="M13" i="2"/>
  <c r="J13" i="2"/>
  <c r="S12" i="2"/>
  <c r="Q12" i="2"/>
  <c r="M12" i="2"/>
  <c r="J12" i="2"/>
  <c r="S11" i="2"/>
  <c r="V11" i="2" s="1"/>
  <c r="Q11" i="2"/>
  <c r="M11" i="2"/>
  <c r="J11" i="2"/>
  <c r="S10" i="2"/>
  <c r="V10" i="2" s="1"/>
  <c r="Q10" i="2"/>
  <c r="M10" i="2"/>
  <c r="J10" i="2"/>
  <c r="S9" i="2"/>
  <c r="V9" i="2" s="1"/>
  <c r="Q9" i="2"/>
  <c r="M9" i="2"/>
  <c r="J9" i="2"/>
  <c r="S8" i="2"/>
  <c r="V8" i="2" s="1"/>
  <c r="Q8" i="2"/>
  <c r="M8" i="2"/>
  <c r="J8" i="2"/>
  <c r="S7" i="2"/>
  <c r="V7" i="2" s="1"/>
  <c r="Q7" i="2"/>
  <c r="M7" i="2"/>
  <c r="J7" i="2"/>
  <c r="S6" i="2"/>
  <c r="Q6" i="2"/>
  <c r="M6" i="2"/>
  <c r="J6" i="2"/>
  <c r="S5" i="2"/>
  <c r="V5" i="2" s="1"/>
  <c r="Q5" i="2"/>
  <c r="M5" i="2"/>
  <c r="J5" i="2"/>
  <c r="S4" i="2"/>
  <c r="Q4" i="2"/>
  <c r="M4" i="2"/>
  <c r="J4" i="2"/>
  <c r="S3" i="2"/>
  <c r="V3" i="2" s="1"/>
  <c r="Q3" i="2"/>
  <c r="M3" i="2"/>
  <c r="J3" i="2"/>
  <c r="T12" i="2" l="1"/>
  <c r="T20" i="2"/>
  <c r="T4" i="2"/>
  <c r="V12" i="2"/>
  <c r="T8" i="2"/>
  <c r="T16" i="2"/>
  <c r="V4" i="2"/>
  <c r="V20" i="2"/>
  <c r="T18" i="2"/>
  <c r="T6" i="2"/>
  <c r="T14" i="2"/>
  <c r="T22" i="2"/>
  <c r="V6" i="2"/>
  <c r="V22" i="2"/>
  <c r="T10" i="2"/>
  <c r="T19" i="2"/>
  <c r="V14" i="2"/>
  <c r="I15" i="3"/>
  <c r="J15" i="3" s="1"/>
  <c r="I21" i="3"/>
  <c r="J21" i="3" s="1"/>
  <c r="I27" i="3"/>
  <c r="J27" i="3" s="1"/>
  <c r="I33" i="3"/>
  <c r="J33" i="3" s="1"/>
  <c r="I16" i="3"/>
  <c r="J16" i="3" s="1"/>
  <c r="I22" i="3"/>
  <c r="J22" i="3" s="1"/>
  <c r="I28" i="3"/>
  <c r="J28" i="3" s="1"/>
  <c r="I34" i="3"/>
  <c r="J34" i="3" s="1"/>
  <c r="I17" i="3"/>
  <c r="J17" i="3" s="1"/>
  <c r="I23" i="3"/>
  <c r="J23" i="3" s="1"/>
  <c r="I29" i="3"/>
  <c r="J29" i="3" s="1"/>
  <c r="I35" i="3"/>
  <c r="J35" i="3" s="1"/>
  <c r="I18" i="3"/>
  <c r="J18" i="3" s="1"/>
  <c r="I24" i="3"/>
  <c r="J24" i="3" s="1"/>
  <c r="I30" i="3"/>
  <c r="J30" i="3" s="1"/>
  <c r="I36" i="3"/>
  <c r="J36" i="3" s="1"/>
  <c r="I19" i="3"/>
  <c r="J19" i="3" s="1"/>
  <c r="I25" i="3"/>
  <c r="J25" i="3" s="1"/>
  <c r="V19" i="2"/>
  <c r="T3" i="2"/>
  <c r="T5" i="2"/>
  <c r="T7" i="2"/>
  <c r="T9" i="2"/>
  <c r="T11" i="2"/>
  <c r="T13" i="2"/>
  <c r="T15" i="2"/>
  <c r="T17" i="2"/>
  <c r="T21" i="2"/>
  <c r="S28" i="1" l="1"/>
  <c r="S29" i="1"/>
  <c r="S30" i="1"/>
</calcChain>
</file>

<file path=xl/sharedStrings.xml><?xml version="1.0" encoding="utf-8"?>
<sst xmlns="http://schemas.openxmlformats.org/spreadsheetml/2006/main" count="415" uniqueCount="172">
  <si>
    <t>2025-12-11 10:18:47+01:00</t>
  </si>
  <si>
    <t>2025120789_PIGMET-HG_2</t>
  </si>
  <si>
    <t>VFA WITH PRINTOUT_1UL_08-01-2025.amx</t>
  </si>
  <si>
    <t/>
  </si>
  <si>
    <t>Acetic acid</t>
  </si>
  <si>
    <t>Propionic
acid</t>
  </si>
  <si>
    <t>Isobutanoic
acid</t>
  </si>
  <si>
    <t>Pivalin acid</t>
  </si>
  <si>
    <t>Butanoic acid</t>
  </si>
  <si>
    <t>Meth.
butyric/isoval.
acid</t>
  </si>
  <si>
    <t>Pentanoic
acid</t>
  </si>
  <si>
    <t>Isocaproic
acid</t>
  </si>
  <si>
    <t>Hexanoic acid</t>
  </si>
  <si>
    <t>Heptanoic
acid</t>
  </si>
  <si>
    <t>Concentration
(mg/L)</t>
  </si>
  <si>
    <t>1</t>
  </si>
  <si>
    <t>PIGM
ET
202512
08 AD 5</t>
  </si>
  <si>
    <t>3</t>
  </si>
  <si>
    <t>PIGM
ET
202512
08 AD 6</t>
  </si>
  <si>
    <t>4</t>
  </si>
  <si>
    <t>PIGM
ET
202512
08 AD 7</t>
  </si>
  <si>
    <t>5</t>
  </si>
  <si>
    <t>PIGM
ET
202512
08 AD 8</t>
  </si>
  <si>
    <t>6</t>
  </si>
  <si>
    <t>PIGM
ET
202512
08 AD 9</t>
  </si>
  <si>
    <t>7</t>
  </si>
  <si>
    <t>PIGM
ET
202512
08 AD
10</t>
  </si>
  <si>
    <t>9</t>
  </si>
  <si>
    <t>PIGM
ET
202512
08 AD
11</t>
  </si>
  <si>
    <t>10</t>
  </si>
  <si>
    <t>PIGM
ET
202512
08 AD
12</t>
  </si>
  <si>
    <t>11</t>
  </si>
  <si>
    <t>PIGM
ET
202512
08 AD
13</t>
  </si>
  <si>
    <t>12</t>
  </si>
  <si>
    <t>PIGM
ET
202512
08 AD
14</t>
  </si>
  <si>
    <t>13</t>
  </si>
  <si>
    <t>PIGM
ET
202512
08 AD
19</t>
  </si>
  <si>
    <t>15</t>
  </si>
  <si>
    <t>PIGM
ET
202512
08 AD
20</t>
  </si>
  <si>
    <t>16</t>
  </si>
  <si>
    <t>PIGM
ET
202512
08 AD
21</t>
  </si>
  <si>
    <t>17</t>
  </si>
  <si>
    <t>PIGM
ET
202512
08 AD
22</t>
  </si>
  <si>
    <t>18</t>
  </si>
  <si>
    <t>PIGM
ET
202512
08 AD
23</t>
  </si>
  <si>
    <t>19</t>
  </si>
  <si>
    <t>PIGM
ET
202512
08 AD
24</t>
  </si>
  <si>
    <t>21</t>
  </si>
  <si>
    <t>PIGM
ET
202512
08 AD
25</t>
  </si>
  <si>
    <t>22</t>
  </si>
  <si>
    <t>PIGM
ET
202512
08 AD
26</t>
  </si>
  <si>
    <t>23</t>
  </si>
  <si>
    <t>PIGM
ET
202512
08 AD
27</t>
  </si>
  <si>
    <t>24</t>
  </si>
  <si>
    <t>PIGM
ET
202512
08 AD
28</t>
  </si>
  <si>
    <t>25</t>
  </si>
  <si>
    <t>Sample ID</t>
  </si>
  <si>
    <t>treatment</t>
  </si>
  <si>
    <t>Days</t>
  </si>
  <si>
    <t>Analysis</t>
  </si>
  <si>
    <t>TKN g</t>
  </si>
  <si>
    <t>ml</t>
  </si>
  <si>
    <t>TN g/L</t>
  </si>
  <si>
    <t>gram</t>
  </si>
  <si>
    <t>nova</t>
  </si>
  <si>
    <t>real concentration
 (mg/L)</t>
  </si>
  <si>
    <t>tray</t>
  </si>
  <si>
    <t>tray+wet sample</t>
  </si>
  <si>
    <t>wet sample</t>
  </si>
  <si>
    <t>tray+dry sample</t>
  </si>
  <si>
    <t>dry sample</t>
  </si>
  <si>
    <t>drymatter</t>
  </si>
  <si>
    <t>tray+ash</t>
  </si>
  <si>
    <t>VS</t>
  </si>
  <si>
    <t>pH</t>
  </si>
  <si>
    <t>%</t>
  </si>
  <si>
    <t>AD5</t>
  </si>
  <si>
    <t>FUWM(1)</t>
  </si>
  <si>
    <t>TS+VS+VFAs+Fiber+Lipids+TAN+TKN+pH</t>
  </si>
  <si>
    <t xml:space="preserve">A1 Additional farm-Finisher:
 B.E. Landbrug. </t>
  </si>
  <si>
    <t>finshed</t>
  </si>
  <si>
    <t>AD6</t>
  </si>
  <si>
    <t>FUWM(2)</t>
  </si>
  <si>
    <t>AD7</t>
  </si>
  <si>
    <t>weekly slurry</t>
  </si>
  <si>
    <t>AD8</t>
  </si>
  <si>
    <t>AD9</t>
  </si>
  <si>
    <t>FUWM30(1)</t>
  </si>
  <si>
    <t>AD10</t>
  </si>
  <si>
    <t>FUWM30(2)</t>
  </si>
  <si>
    <t>AD11</t>
  </si>
  <si>
    <t>FUWM90(1)</t>
  </si>
  <si>
    <t>AD12</t>
  </si>
  <si>
    <t>FUWM90(2)</t>
  </si>
  <si>
    <t>AD13</t>
  </si>
  <si>
    <t>WBM90(1)</t>
  </si>
  <si>
    <t>AD14</t>
  </si>
  <si>
    <t>WBM90(2)</t>
  </si>
  <si>
    <t>AD19</t>
  </si>
  <si>
    <t>A2 Additional farm-Finisher: 
Finisher: Havndal</t>
  </si>
  <si>
    <t>AD20</t>
  </si>
  <si>
    <t>AD21</t>
  </si>
  <si>
    <t>AD22</t>
  </si>
  <si>
    <t>AD23</t>
  </si>
  <si>
    <t>AD24</t>
  </si>
  <si>
    <t>AD25</t>
  </si>
  <si>
    <t>AD26</t>
  </si>
  <si>
    <t>AD27</t>
  </si>
  <si>
    <t>AD28</t>
  </si>
  <si>
    <t>BE</t>
  </si>
  <si>
    <t>Havndal</t>
  </si>
  <si>
    <t>TS</t>
  </si>
  <si>
    <t>Neutral Detergent Fiber - As-Received</t>
  </si>
  <si>
    <t>Study Number:</t>
  </si>
  <si>
    <t>Date:</t>
  </si>
  <si>
    <t xml:space="preserve">            NOTE:  SD and Avg columns used when multiple replicates are run</t>
  </si>
  <si>
    <t>Analyst:</t>
  </si>
  <si>
    <t>Formulae will have to be inserted as needed</t>
  </si>
  <si>
    <t>Correction for ash value</t>
  </si>
  <si>
    <t>ash + cellulose + hemicellulose + lignin</t>
  </si>
  <si>
    <t>cellulose + hemicellulose + lignin</t>
  </si>
  <si>
    <t>after 105 °C</t>
  </si>
  <si>
    <t>with ash</t>
  </si>
  <si>
    <t>ash subtracted</t>
  </si>
  <si>
    <t>arkiv nummer</t>
  </si>
  <si>
    <t>project number</t>
  </si>
  <si>
    <t>Sample</t>
  </si>
  <si>
    <t xml:space="preserve">Bag </t>
  </si>
  <si>
    <t>Final</t>
  </si>
  <si>
    <t>Neutral Detergent fiber + ash</t>
  </si>
  <si>
    <t>Neutral Detergent fiber</t>
  </si>
  <si>
    <t>Std.</t>
  </si>
  <si>
    <t>Efter Acetone</t>
  </si>
  <si>
    <t>Description</t>
  </si>
  <si>
    <t>Bag #</t>
  </si>
  <si>
    <t>Weight</t>
  </si>
  <si>
    <t>Bag and sample Weight</t>
  </si>
  <si>
    <t xml:space="preserve">% </t>
  </si>
  <si>
    <t>Dev.</t>
  </si>
  <si>
    <t>Avg.</t>
  </si>
  <si>
    <t>1..05725</t>
  </si>
  <si>
    <t>control</t>
  </si>
  <si>
    <t>kontrol K2</t>
  </si>
  <si>
    <t>A</t>
  </si>
  <si>
    <t>B</t>
  </si>
  <si>
    <t>B/A</t>
  </si>
  <si>
    <t>Blank Bag</t>
  </si>
  <si>
    <t>A = weight of bag for blank</t>
  </si>
  <si>
    <t>If the value for Blank bag is over 1, then stop the ekstraktion. You have to do all analysis again!!</t>
  </si>
  <si>
    <t>B = weight af bag after 105 C for blank</t>
  </si>
  <si>
    <t>Day</t>
  </si>
  <si>
    <t>Farm</t>
  </si>
  <si>
    <t>HAVN</t>
  </si>
  <si>
    <t>TAN</t>
  </si>
  <si>
    <t>TKN</t>
  </si>
  <si>
    <t>CP</t>
  </si>
  <si>
    <t>Number</t>
  </si>
  <si>
    <t>Replicate</t>
  </si>
  <si>
    <t>Sample_ID</t>
  </si>
  <si>
    <t>VFAs</t>
  </si>
  <si>
    <t>Acetic</t>
  </si>
  <si>
    <t>Propionic</t>
  </si>
  <si>
    <t>Butanoic</t>
  </si>
  <si>
    <t>Temperature</t>
  </si>
  <si>
    <t>Treatment</t>
  </si>
  <si>
    <t>Weekly flushing</t>
  </si>
  <si>
    <t>Weekly inoculum</t>
  </si>
  <si>
    <t>NDF</t>
  </si>
  <si>
    <t>Hemicellulose</t>
  </si>
  <si>
    <t>Cellulose</t>
  </si>
  <si>
    <t>Lignin</t>
  </si>
  <si>
    <t>Lipids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</si>
</sst>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8"/>
      <name val="Times New Roman"/>
      <family val="1"/>
    </font>
    <font>
      <sz val="12"/>
      <name val="Arial Black"/>
      <family val="2"/>
    </font>
    <font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sz val="16"/>
      <name val="Arial"/>
      <family val="2"/>
    </font>
    <font>
      <b/>
      <sz val="12"/>
      <color indexed="8"/>
      <name val="Times New Roman"/>
      <family val="1"/>
    </font>
    <font>
      <b/>
      <i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bgColor indexed="22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2" borderId="0" xfId="0" applyNumberFormat="1" applyFill="1" applyAlignment="1">
      <alignment vertical="center"/>
    </xf>
    <xf numFmtId="0" fontId="0" fillId="2" borderId="0" xfId="0" applyFill="1"/>
    <xf numFmtId="0" fontId="5" fillId="0" borderId="0" xfId="0" applyFont="1"/>
    <xf numFmtId="2" fontId="5" fillId="0" borderId="0" xfId="0" applyNumberFormat="1" applyFont="1"/>
    <xf numFmtId="2" fontId="5" fillId="2" borderId="16" xfId="0" applyNumberFormat="1" applyFont="1" applyFill="1" applyBorder="1"/>
    <xf numFmtId="2" fontId="5" fillId="4" borderId="0" xfId="0" applyNumberFormat="1" applyFont="1" applyFill="1"/>
    <xf numFmtId="0" fontId="0" fillId="2" borderId="18" xfId="0" applyFill="1" applyBorder="1" applyAlignment="1">
      <alignment horizontal="center"/>
    </xf>
    <xf numFmtId="2" fontId="5" fillId="4" borderId="19" xfId="0" applyNumberFormat="1" applyFont="1" applyFill="1" applyBorder="1"/>
    <xf numFmtId="0" fontId="0" fillId="0" borderId="1" xfId="0" applyBorder="1"/>
    <xf numFmtId="0" fontId="0" fillId="0" borderId="0" xfId="0" applyProtection="1">
      <protection locked="0"/>
    </xf>
    <xf numFmtId="0" fontId="6" fillId="0" borderId="20" xfId="0" applyFont="1" applyBorder="1" applyProtection="1">
      <protection locked="0"/>
    </xf>
    <xf numFmtId="0" fontId="0" fillId="0" borderId="20" xfId="0" applyBorder="1" applyProtection="1">
      <protection locked="0"/>
    </xf>
    <xf numFmtId="0" fontId="0" fillId="0" borderId="20" xfId="0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right"/>
      <protection locked="0"/>
    </xf>
    <xf numFmtId="0" fontId="7" fillId="0" borderId="0" xfId="0" applyFon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right"/>
      <protection locked="0"/>
    </xf>
    <xf numFmtId="0" fontId="8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right"/>
      <protection locked="0"/>
    </xf>
    <xf numFmtId="14" fontId="10" fillId="0" borderId="21" xfId="0" applyNumberFormat="1" applyFont="1" applyBorder="1" applyAlignment="1" applyProtection="1">
      <alignment horizontal="left"/>
      <protection locked="0"/>
    </xf>
    <xf numFmtId="15" fontId="8" fillId="0" borderId="0" xfId="0" applyNumberFormat="1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13" fillId="0" borderId="0" xfId="0" applyFont="1" applyAlignment="1" applyProtection="1">
      <alignment horizontal="right"/>
      <protection locked="0"/>
    </xf>
    <xf numFmtId="0" fontId="16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3" fillId="5" borderId="22" xfId="0" applyFont="1" applyFill="1" applyBorder="1" applyAlignment="1" applyProtection="1">
      <alignment horizontal="center"/>
      <protection locked="0"/>
    </xf>
    <xf numFmtId="0" fontId="17" fillId="5" borderId="4" xfId="0" applyFont="1" applyFill="1" applyBorder="1" applyAlignment="1" applyProtection="1">
      <alignment horizontal="center"/>
      <protection locked="0"/>
    </xf>
    <xf numFmtId="0" fontId="18" fillId="5" borderId="4" xfId="0" applyFont="1" applyFill="1" applyBorder="1" applyProtection="1">
      <protection locked="0"/>
    </xf>
    <xf numFmtId="9" fontId="17" fillId="5" borderId="4" xfId="1" applyFont="1" applyFill="1" applyBorder="1" applyAlignment="1" applyProtection="1">
      <alignment horizontal="center"/>
      <protection locked="0"/>
    </xf>
    <xf numFmtId="0" fontId="18" fillId="5" borderId="23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13" fillId="5" borderId="24" xfId="0" applyFont="1" applyFill="1" applyBorder="1" applyAlignment="1" applyProtection="1">
      <alignment horizontal="center"/>
      <protection locked="0"/>
    </xf>
    <xf numFmtId="0" fontId="17" fillId="5" borderId="10" xfId="0" applyFont="1" applyFill="1" applyBorder="1" applyAlignment="1" applyProtection="1">
      <alignment horizontal="center"/>
      <protection locked="0"/>
    </xf>
    <xf numFmtId="9" fontId="17" fillId="5" borderId="10" xfId="1" applyFont="1" applyFill="1" applyBorder="1" applyAlignment="1" applyProtection="1">
      <alignment horizontal="center"/>
      <protection locked="0"/>
    </xf>
    <xf numFmtId="9" fontId="17" fillId="5" borderId="25" xfId="1" applyFont="1" applyFill="1" applyBorder="1" applyAlignment="1" applyProtection="1">
      <alignment horizontal="center"/>
      <protection locked="0"/>
    </xf>
    <xf numFmtId="0" fontId="17" fillId="5" borderId="26" xfId="0" applyFont="1" applyFill="1" applyBorder="1" applyAlignment="1" applyProtection="1">
      <alignment horizontal="center"/>
      <protection locked="0"/>
    </xf>
    <xf numFmtId="0" fontId="17" fillId="0" borderId="0" xfId="0" applyFont="1" applyAlignment="1" applyProtection="1">
      <alignment horizontal="center"/>
      <protection locked="0"/>
    </xf>
    <xf numFmtId="0" fontId="19" fillId="0" borderId="27" xfId="0" applyFont="1" applyBorder="1" applyAlignment="1" applyProtection="1">
      <alignment horizontal="center"/>
      <protection locked="0"/>
    </xf>
    <xf numFmtId="0" fontId="19" fillId="0" borderId="27" xfId="0" applyFont="1" applyBorder="1" applyProtection="1">
      <protection locked="0"/>
    </xf>
    <xf numFmtId="4" fontId="19" fillId="6" borderId="27" xfId="0" applyNumberFormat="1" applyFont="1" applyFill="1" applyBorder="1"/>
    <xf numFmtId="4" fontId="15" fillId="6" borderId="1" xfId="0" applyNumberFormat="1" applyFont="1" applyFill="1" applyBorder="1"/>
    <xf numFmtId="164" fontId="19" fillId="0" borderId="27" xfId="0" applyNumberFormat="1" applyFont="1" applyBorder="1" applyAlignment="1" applyProtection="1">
      <alignment horizontal="center"/>
      <protection locked="0"/>
    </xf>
    <xf numFmtId="4" fontId="19" fillId="0" borderId="27" xfId="0" applyNumberFormat="1" applyFont="1" applyBorder="1" applyAlignment="1" applyProtection="1">
      <alignment horizontal="center"/>
      <protection locked="0"/>
    </xf>
    <xf numFmtId="165" fontId="19" fillId="0" borderId="0" xfId="0" applyNumberFormat="1" applyFont="1" applyAlignment="1" applyProtection="1">
      <alignment horizontal="center"/>
      <protection locked="0"/>
    </xf>
    <xf numFmtId="4" fontId="0" fillId="0" borderId="0" xfId="0" applyNumberFormat="1" applyProtection="1">
      <protection locked="0"/>
    </xf>
    <xf numFmtId="0" fontId="19" fillId="0" borderId="1" xfId="0" applyFont="1" applyBorder="1" applyAlignment="1" applyProtection="1">
      <alignment horizontal="center"/>
      <protection locked="0"/>
    </xf>
    <xf numFmtId="0" fontId="19" fillId="0" borderId="1" xfId="0" applyFont="1" applyBorder="1" applyProtection="1">
      <protection locked="0"/>
    </xf>
    <xf numFmtId="0" fontId="20" fillId="0" borderId="1" xfId="0" applyFont="1" applyBorder="1" applyProtection="1">
      <protection locked="0"/>
    </xf>
    <xf numFmtId="0" fontId="20" fillId="0" borderId="0" xfId="0" applyFont="1" applyProtection="1">
      <protection locked="0"/>
    </xf>
    <xf numFmtId="164" fontId="19" fillId="0" borderId="1" xfId="0" applyNumberFormat="1" applyFont="1" applyBorder="1" applyAlignment="1" applyProtection="1">
      <alignment horizontal="center"/>
      <protection locked="0"/>
    </xf>
    <xf numFmtId="4" fontId="19" fillId="0" borderId="1" xfId="0" applyNumberFormat="1" applyFont="1" applyBorder="1" applyAlignment="1" applyProtection="1">
      <alignment horizontal="center"/>
      <protection locked="0"/>
    </xf>
    <xf numFmtId="4" fontId="19" fillId="0" borderId="0" xfId="0" applyNumberFormat="1" applyFont="1" applyAlignment="1" applyProtection="1">
      <alignment horizontal="center"/>
      <protection locked="0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19" fillId="0" borderId="21" xfId="0" applyFont="1" applyBorder="1" applyAlignment="1" applyProtection="1">
      <alignment horizontal="center"/>
      <protection locked="0"/>
    </xf>
    <xf numFmtId="164" fontId="17" fillId="0" borderId="21" xfId="0" applyNumberFormat="1" applyFont="1" applyBorder="1" applyAlignment="1" applyProtection="1">
      <alignment horizontal="center"/>
      <protection locked="0"/>
    </xf>
    <xf numFmtId="164" fontId="19" fillId="0" borderId="21" xfId="0" applyNumberFormat="1" applyFont="1" applyBorder="1" applyAlignment="1" applyProtection="1">
      <alignment horizontal="center"/>
      <protection locked="0"/>
    </xf>
    <xf numFmtId="0" fontId="17" fillId="0" borderId="21" xfId="0" applyFont="1" applyBorder="1" applyAlignment="1" applyProtection="1">
      <alignment horizontal="center"/>
      <protection locked="0"/>
    </xf>
    <xf numFmtId="2" fontId="17" fillId="0" borderId="21" xfId="0" applyNumberFormat="1" applyFont="1" applyBorder="1" applyAlignment="1">
      <alignment horizontal="center"/>
    </xf>
    <xf numFmtId="0" fontId="19" fillId="0" borderId="17" xfId="0" applyFont="1" applyBorder="1" applyAlignment="1" applyProtection="1">
      <alignment horizontal="center"/>
      <protection locked="0"/>
    </xf>
    <xf numFmtId="0" fontId="19" fillId="0" borderId="28" xfId="0" applyFont="1" applyBorder="1" applyAlignment="1" applyProtection="1">
      <alignment horizontal="center"/>
      <protection locked="0"/>
    </xf>
    <xf numFmtId="164" fontId="19" fillId="7" borderId="27" xfId="0" applyNumberFormat="1" applyFont="1" applyFill="1" applyBorder="1" applyAlignment="1" applyProtection="1">
      <alignment horizontal="center"/>
      <protection locked="0"/>
    </xf>
    <xf numFmtId="164" fontId="19" fillId="6" borderId="27" xfId="0" applyNumberFormat="1" applyFont="1" applyFill="1" applyBorder="1" applyAlignment="1">
      <alignment horizontal="center"/>
    </xf>
    <xf numFmtId="164" fontId="19" fillId="6" borderId="0" xfId="0" applyNumberFormat="1" applyFont="1" applyFill="1" applyAlignment="1">
      <alignment horizontal="center"/>
    </xf>
    <xf numFmtId="0" fontId="16" fillId="2" borderId="29" xfId="0" applyFont="1" applyFill="1" applyBorder="1" applyProtection="1">
      <protection locked="0"/>
    </xf>
    <xf numFmtId="0" fontId="0" fillId="2" borderId="30" xfId="0" applyFill="1" applyBorder="1" applyProtection="1">
      <protection locked="0"/>
    </xf>
    <xf numFmtId="0" fontId="0" fillId="2" borderId="31" xfId="0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6" xfId="0" applyFill="1" applyBorder="1"/>
    <xf numFmtId="0" fontId="5" fillId="2" borderId="0" xfId="0" applyFont="1" applyFill="1"/>
    <xf numFmtId="2" fontId="5" fillId="2" borderId="0" xfId="0" applyNumberFormat="1" applyFont="1" applyFill="1"/>
    <xf numFmtId="2" fontId="5" fillId="2" borderId="19" xfId="0" applyNumberFormat="1" applyFont="1" applyFill="1" applyBorder="1"/>
    <xf numFmtId="0" fontId="3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4" xfId="0" applyFill="1" applyBorder="1" applyAlignment="1">
      <alignment vertical="center"/>
    </xf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2" fontId="0" fillId="0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0" fontId="3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2" fontId="0" fillId="8" borderId="0" xfId="0" applyNumberFormat="1" applyFill="1" applyAlignment="1">
      <alignment vertical="center"/>
    </xf>
    <xf numFmtId="0" fontId="0" fillId="8" borderId="16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30480</xdr:rowOff>
    </xdr:from>
    <xdr:to>
      <xdr:col>7</xdr:col>
      <xdr:colOff>487680</xdr:colOff>
      <xdr:row>3</xdr:row>
      <xdr:rowOff>91440</xdr:rowOff>
    </xdr:to>
    <xdr:pic>
      <xdr:nvPicPr>
        <xdr:cNvPr id="2" name="Picture 1" descr="Ankom_logo">
          <a:extLst>
            <a:ext uri="{FF2B5EF4-FFF2-40B4-BE49-F238E27FC236}">
              <a16:creationId xmlns:a16="http://schemas.microsoft.com/office/drawing/2014/main" id="{29BB7265-28E4-4235-8556-01A815931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7380" y="30480"/>
          <a:ext cx="353568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O:\Tech_BCE\Environmental%20Engineering\Biogas\2025_Analyser\Analyse%20Fiber,%20Ankom\Januar%202026\2025-12-15_RUI_WANG.xls" TargetMode="External"/><Relationship Id="rId1" Type="http://schemas.openxmlformats.org/officeDocument/2006/relationships/externalLinkPath" Target="file:///O:\Tech_BCE\Environmental%20Engineering\Biogas\2025_Analyser\Analyse%20Fiber,%20Ankom\Januar%202026\2025-12-15_RUI_WA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DF %"/>
      <sheetName val="ADF %"/>
      <sheetName val="ADL %"/>
    </sheetNames>
    <sheetDataSet>
      <sheetData sheetId="0"/>
      <sheetData sheetId="1"/>
      <sheetData sheetId="2">
        <row r="14">
          <cell r="S14">
            <v>-0.24481465499049448</v>
          </cell>
        </row>
        <row r="15">
          <cell r="S15">
            <v>-0.34424523081282055</v>
          </cell>
        </row>
        <row r="16">
          <cell r="S16">
            <v>-0.19356941205301825</v>
          </cell>
        </row>
        <row r="17">
          <cell r="S17">
            <v>-6.6908607406253387E-2</v>
          </cell>
        </row>
        <row r="18">
          <cell r="S18">
            <v>-0.13065759920732475</v>
          </cell>
        </row>
        <row r="19">
          <cell r="S19">
            <v>-0.13876620626689518</v>
          </cell>
        </row>
        <row r="20">
          <cell r="S20">
            <v>-0.22269205760549118</v>
          </cell>
        </row>
        <row r="21">
          <cell r="S21">
            <v>-0.1687112632901008</v>
          </cell>
        </row>
        <row r="22">
          <cell r="S22">
            <v>-1.0933375756182371E-2</v>
          </cell>
        </row>
        <row r="23">
          <cell r="S23">
            <v>-4.6140063930075637E-2</v>
          </cell>
        </row>
        <row r="24">
          <cell r="S24">
            <v>-0.28286363238877332</v>
          </cell>
        </row>
        <row r="25">
          <cell r="S25">
            <v>-0.20125009777281505</v>
          </cell>
        </row>
        <row r="26">
          <cell r="S26">
            <v>-0.16947747260130558</v>
          </cell>
        </row>
        <row r="27">
          <cell r="S27">
            <v>-0.22392353695734665</v>
          </cell>
        </row>
        <row r="28">
          <cell r="S28">
            <v>-0.19715798738182719</v>
          </cell>
        </row>
        <row r="29">
          <cell r="S29">
            <v>-0.11003676029051808</v>
          </cell>
        </row>
        <row r="30">
          <cell r="S30">
            <v>-0.16081666695276631</v>
          </cell>
        </row>
        <row r="31">
          <cell r="S31">
            <v>-7.1275335781544213E-2</v>
          </cell>
        </row>
        <row r="32">
          <cell r="S32">
            <v>-0.33429053980209783</v>
          </cell>
        </row>
        <row r="33">
          <cell r="S33">
            <v>-0.15097466158091505</v>
          </cell>
        </row>
        <row r="34">
          <cell r="S34">
            <v>2.0019505450745845</v>
          </cell>
        </row>
        <row r="35">
          <cell r="S35" t="e">
            <v>#DIV/0!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62C9-E7F7-44F3-95E6-B0CAF8A029CF}">
  <dimension ref="A1:V21"/>
  <sheetViews>
    <sheetView tabSelected="1" topLeftCell="E1" zoomScale="145" zoomScaleNormal="145" workbookViewId="0">
      <selection activeCell="N19" sqref="N19"/>
    </sheetView>
  </sheetViews>
  <sheetFormatPr defaultRowHeight="14.4" x14ac:dyDescent="0.3"/>
  <cols>
    <col min="1" max="1" width="6.33203125" style="108" customWidth="1"/>
    <col min="2" max="2" width="8.88671875" style="108"/>
    <col min="3" max="3" width="15.88671875" style="108" customWidth="1"/>
    <col min="4" max="4" width="7.109375" style="108" customWidth="1"/>
    <col min="5" max="5" width="11.109375" style="108" customWidth="1"/>
    <col min="6" max="6" width="8.88671875" style="108"/>
    <col min="7" max="7" width="12.21875" style="108" customWidth="1"/>
    <col min="8" max="8" width="13.109375" style="108" customWidth="1"/>
    <col min="9" max="16384" width="8.88671875" style="108"/>
  </cols>
  <sheetData>
    <row r="1" spans="1:22" s="111" customFormat="1" x14ac:dyDescent="0.3">
      <c r="A1" s="108" t="s">
        <v>151</v>
      </c>
      <c r="B1" s="108" t="s">
        <v>163</v>
      </c>
      <c r="C1" s="108" t="s">
        <v>164</v>
      </c>
      <c r="D1" s="108" t="s">
        <v>157</v>
      </c>
      <c r="E1" s="108" t="s">
        <v>158</v>
      </c>
      <c r="F1" s="108" t="s">
        <v>150</v>
      </c>
      <c r="G1" s="108" t="s">
        <v>156</v>
      </c>
      <c r="H1" s="109" t="s">
        <v>111</v>
      </c>
      <c r="I1" s="109" t="s">
        <v>73</v>
      </c>
      <c r="J1" s="110" t="s">
        <v>153</v>
      </c>
      <c r="K1" s="110" t="s">
        <v>154</v>
      </c>
      <c r="L1" s="110" t="s">
        <v>155</v>
      </c>
      <c r="M1" s="110" t="s">
        <v>74</v>
      </c>
      <c r="N1" s="108" t="s">
        <v>159</v>
      </c>
      <c r="O1" s="108" t="s">
        <v>160</v>
      </c>
      <c r="P1" s="108" t="s">
        <v>161</v>
      </c>
      <c r="Q1" s="108" t="s">
        <v>162</v>
      </c>
      <c r="R1" s="111" t="s">
        <v>167</v>
      </c>
      <c r="S1" s="111" t="s">
        <v>168</v>
      </c>
      <c r="T1" s="111" t="s">
        <v>169</v>
      </c>
      <c r="U1" s="111" t="s">
        <v>170</v>
      </c>
      <c r="V1" s="111" t="s">
        <v>171</v>
      </c>
    </row>
    <row r="2" spans="1:22" s="115" customFormat="1" x14ac:dyDescent="0.3">
      <c r="A2" s="115" t="s">
        <v>109</v>
      </c>
      <c r="B2" s="115">
        <v>17.5</v>
      </c>
      <c r="C2" s="115" t="s">
        <v>165</v>
      </c>
      <c r="D2" s="115">
        <v>1</v>
      </c>
      <c r="E2" s="116" t="s">
        <v>76</v>
      </c>
      <c r="F2" s="116">
        <v>0</v>
      </c>
      <c r="G2" s="117" t="s">
        <v>77</v>
      </c>
      <c r="H2" s="115">
        <v>66.03548886507086</v>
      </c>
      <c r="I2" s="115">
        <v>73.872858431018926</v>
      </c>
      <c r="J2" s="115">
        <v>4.4538706256627787</v>
      </c>
      <c r="K2" s="118">
        <v>6.1997733149171275</v>
      </c>
      <c r="L2" s="115">
        <f>(K2-J2)*6.25</f>
        <v>10.91189180783968</v>
      </c>
      <c r="M2" s="119">
        <v>8.25</v>
      </c>
      <c r="N2" s="120">
        <v>7.3253436000000001</v>
      </c>
      <c r="O2" s="120">
        <v>4.3298718999999997</v>
      </c>
      <c r="P2" s="120">
        <v>1.3645734999999999</v>
      </c>
      <c r="Q2" s="120">
        <v>0.25858390000000003</v>
      </c>
      <c r="R2" s="115">
        <f>SUM(S2:U2)</f>
        <v>34.023050816252834</v>
      </c>
      <c r="S2" s="115">
        <v>19.773623784880485</v>
      </c>
      <c r="T2" s="115">
        <v>10.721635594469651</v>
      </c>
      <c r="U2" s="115">
        <v>3.5277914369026995</v>
      </c>
    </row>
    <row r="3" spans="1:22" s="115" customFormat="1" x14ac:dyDescent="0.3">
      <c r="A3" s="115" t="s">
        <v>109</v>
      </c>
      <c r="B3" s="115">
        <v>17.5</v>
      </c>
      <c r="C3" s="115" t="s">
        <v>165</v>
      </c>
      <c r="D3" s="115">
        <v>2</v>
      </c>
      <c r="E3" s="116" t="s">
        <v>81</v>
      </c>
      <c r="F3" s="116">
        <v>0</v>
      </c>
      <c r="G3" s="117" t="s">
        <v>82</v>
      </c>
      <c r="H3" s="115">
        <v>67.042346896494564</v>
      </c>
      <c r="I3" s="115">
        <v>74.854317499558547</v>
      </c>
      <c r="J3" s="115">
        <v>3.9400665926748055</v>
      </c>
      <c r="K3" s="118">
        <v>6.2257129102844644</v>
      </c>
      <c r="L3" s="115">
        <f>(K3-J3)*6.25</f>
        <v>14.285289485060368</v>
      </c>
      <c r="M3" s="115">
        <v>8.75</v>
      </c>
      <c r="N3" s="120">
        <v>5.5459709000000013</v>
      </c>
      <c r="O3" s="120">
        <v>2.8123111000000001</v>
      </c>
      <c r="P3" s="120">
        <v>1.2797544999999999</v>
      </c>
      <c r="Q3" s="120">
        <v>0.2380726</v>
      </c>
      <c r="R3" s="115">
        <f t="shared" ref="R3:R21" si="0">SUM(S3:U3)</f>
        <v>31.249954394447425</v>
      </c>
      <c r="S3" s="115">
        <v>18.214348318976462</v>
      </c>
      <c r="T3" s="115">
        <v>9.5955513926223599</v>
      </c>
      <c r="U3" s="115">
        <v>3.4400546828486007</v>
      </c>
    </row>
    <row r="4" spans="1:22" x14ac:dyDescent="0.3">
      <c r="A4" s="108" t="s">
        <v>109</v>
      </c>
      <c r="B4" s="108">
        <v>17.5</v>
      </c>
      <c r="C4" s="108" t="s">
        <v>166</v>
      </c>
      <c r="D4" s="108">
        <v>1</v>
      </c>
      <c r="E4" s="112" t="s">
        <v>83</v>
      </c>
      <c r="F4" s="112">
        <v>0</v>
      </c>
      <c r="G4" s="113" t="s">
        <v>84</v>
      </c>
      <c r="H4" s="108">
        <v>81.327491376899403</v>
      </c>
      <c r="I4" s="108">
        <v>74.816597890875741</v>
      </c>
      <c r="J4" s="108">
        <v>4.9837486457204765</v>
      </c>
      <c r="K4" s="114">
        <v>6.6417722370528569</v>
      </c>
      <c r="L4" s="108">
        <f>(K4-J4)*6.25</f>
        <v>10.362647445827378</v>
      </c>
      <c r="M4" s="108">
        <v>7.13</v>
      </c>
      <c r="N4" s="109">
        <v>17.439430599999998</v>
      </c>
      <c r="O4" s="109">
        <v>9.0210817999999993</v>
      </c>
      <c r="P4" s="109">
        <v>3.5680771</v>
      </c>
      <c r="Q4" s="109">
        <v>0.80702229999999997</v>
      </c>
      <c r="R4" s="108">
        <f t="shared" si="0"/>
        <v>35.146807886816134</v>
      </c>
      <c r="S4" s="108">
        <v>20.439623470861427</v>
      </c>
      <c r="T4" s="108">
        <v>10.181738325073956</v>
      </c>
      <c r="U4" s="108">
        <v>4.5254460908807488</v>
      </c>
    </row>
    <row r="5" spans="1:22" x14ac:dyDescent="0.3">
      <c r="A5" s="108" t="s">
        <v>109</v>
      </c>
      <c r="B5" s="108">
        <v>17.5</v>
      </c>
      <c r="C5" s="108" t="s">
        <v>166</v>
      </c>
      <c r="D5" s="108">
        <v>2</v>
      </c>
      <c r="E5" s="112" t="s">
        <v>85</v>
      </c>
      <c r="F5" s="112">
        <v>0</v>
      </c>
      <c r="G5" s="113" t="s">
        <v>84</v>
      </c>
      <c r="H5" s="108">
        <v>78.385978160428465</v>
      </c>
      <c r="I5" s="108">
        <v>74.458106223856007</v>
      </c>
      <c r="J5" s="108">
        <v>4.947916666666667</v>
      </c>
      <c r="K5" s="114">
        <v>6.6877125586242832</v>
      </c>
      <c r="L5" s="108">
        <f>(K5-J5)*6.25</f>
        <v>10.8737243247351</v>
      </c>
      <c r="M5" s="108">
        <v>7.12</v>
      </c>
      <c r="N5" s="109">
        <v>16.561345899999999</v>
      </c>
      <c r="O5" s="109">
        <v>8.521666999999999</v>
      </c>
      <c r="P5" s="109">
        <v>3.4633625000000001</v>
      </c>
      <c r="Q5" s="109">
        <v>0.78133569999999997</v>
      </c>
      <c r="R5" s="108">
        <f t="shared" si="0"/>
        <v>37.819760973954189</v>
      </c>
      <c r="S5" s="108">
        <v>22.480057837020961</v>
      </c>
      <c r="T5" s="108">
        <v>10.800722882107681</v>
      </c>
      <c r="U5" s="108">
        <v>4.538980254825546</v>
      </c>
    </row>
    <row r="6" spans="1:22" s="115" customFormat="1" x14ac:dyDescent="0.3">
      <c r="A6" s="115" t="s">
        <v>109</v>
      </c>
      <c r="B6" s="115">
        <v>17.5</v>
      </c>
      <c r="C6" s="115" t="s">
        <v>165</v>
      </c>
      <c r="D6" s="115">
        <v>1</v>
      </c>
      <c r="E6" s="116" t="s">
        <v>86</v>
      </c>
      <c r="F6" s="116">
        <v>30</v>
      </c>
      <c r="G6" s="117" t="s">
        <v>87</v>
      </c>
      <c r="H6" s="115">
        <v>59.616783895221914</v>
      </c>
      <c r="I6" s="115">
        <v>71.847030105777037</v>
      </c>
      <c r="J6" s="115">
        <v>4.4055201698513802</v>
      </c>
      <c r="K6" s="118">
        <v>6.2694750000000008</v>
      </c>
      <c r="L6" s="115">
        <f>(K6-J6)*6.25</f>
        <v>11.649717688428879</v>
      </c>
      <c r="M6" s="115">
        <v>7.58</v>
      </c>
      <c r="N6" s="120">
        <v>11.389799999999999</v>
      </c>
      <c r="O6" s="120">
        <v>7.2930218999999994</v>
      </c>
      <c r="P6" s="120">
        <v>2.4121554999999999</v>
      </c>
      <c r="Q6" s="120">
        <v>0.4331873</v>
      </c>
      <c r="R6" s="115">
        <f t="shared" si="0"/>
        <v>35.053016176186503</v>
      </c>
      <c r="S6" s="115">
        <v>20.814465186700104</v>
      </c>
      <c r="T6" s="115">
        <v>10.179080773586605</v>
      </c>
      <c r="U6" s="115">
        <v>4.0594702158997942</v>
      </c>
    </row>
    <row r="7" spans="1:22" s="115" customFormat="1" x14ac:dyDescent="0.3">
      <c r="A7" s="115" t="s">
        <v>109</v>
      </c>
      <c r="B7" s="115">
        <v>17.5</v>
      </c>
      <c r="C7" s="115" t="s">
        <v>165</v>
      </c>
      <c r="D7" s="115">
        <v>2</v>
      </c>
      <c r="E7" s="116" t="s">
        <v>88</v>
      </c>
      <c r="F7" s="116">
        <v>30</v>
      </c>
      <c r="G7" s="117" t="s">
        <v>89</v>
      </c>
      <c r="H7" s="115">
        <v>58.800829143512402</v>
      </c>
      <c r="I7" s="115">
        <v>71.198199887492976</v>
      </c>
      <c r="J7" s="115">
        <v>5.0799623706491062</v>
      </c>
      <c r="K7" s="118">
        <v>6.3609615797958092</v>
      </c>
      <c r="L7" s="115">
        <f>(K7-J7)*6.25</f>
        <v>8.0062450571668933</v>
      </c>
      <c r="M7" s="115">
        <v>7.52</v>
      </c>
      <c r="N7" s="120">
        <v>8.4964695000000034</v>
      </c>
      <c r="O7" s="120">
        <v>5.8851006999999997</v>
      </c>
      <c r="P7" s="120">
        <v>1.8135577000000001</v>
      </c>
      <c r="Q7" s="120">
        <v>0.30557960000000001</v>
      </c>
      <c r="R7" s="115">
        <f t="shared" si="0"/>
        <v>35.111081730529776</v>
      </c>
      <c r="S7" s="115">
        <v>24.99822895949044</v>
      </c>
      <c r="T7" s="115">
        <v>5.98863662012592</v>
      </c>
      <c r="U7" s="115">
        <v>4.1242161509134156</v>
      </c>
    </row>
    <row r="8" spans="1:22" s="115" customFormat="1" x14ac:dyDescent="0.3">
      <c r="A8" s="115" t="s">
        <v>109</v>
      </c>
      <c r="B8" s="115">
        <v>17.5</v>
      </c>
      <c r="C8" s="115" t="s">
        <v>165</v>
      </c>
      <c r="D8" s="115">
        <v>1</v>
      </c>
      <c r="E8" s="116" t="s">
        <v>90</v>
      </c>
      <c r="F8" s="116">
        <v>90</v>
      </c>
      <c r="G8" s="117" t="s">
        <v>91</v>
      </c>
      <c r="H8" s="115">
        <v>57.601097614344674</v>
      </c>
      <c r="I8" s="115">
        <v>69.568788501026702</v>
      </c>
      <c r="J8" s="115">
        <v>5.2929085303186021</v>
      </c>
      <c r="K8" s="118">
        <v>6.1867161832061068</v>
      </c>
      <c r="L8" s="115">
        <f>(K8-J8)*6.25</f>
        <v>5.5862978305469042</v>
      </c>
      <c r="M8" s="115">
        <v>7.84</v>
      </c>
      <c r="N8" s="120">
        <v>5.0072895999999991</v>
      </c>
      <c r="O8" s="120">
        <v>1.5171892</v>
      </c>
      <c r="P8" s="120">
        <v>2.2656954999999996</v>
      </c>
      <c r="Q8" s="120">
        <v>0.51497820000000005</v>
      </c>
      <c r="R8" s="115">
        <f t="shared" si="0"/>
        <v>34.588404609243767</v>
      </c>
      <c r="S8" s="115">
        <v>20.303269742877063</v>
      </c>
      <c r="T8" s="115">
        <v>9.5913171442573599</v>
      </c>
      <c r="U8" s="115">
        <v>4.6938177221093458</v>
      </c>
    </row>
    <row r="9" spans="1:22" s="115" customFormat="1" x14ac:dyDescent="0.3">
      <c r="A9" s="115" t="s">
        <v>109</v>
      </c>
      <c r="B9" s="115">
        <v>17.5</v>
      </c>
      <c r="C9" s="115" t="s">
        <v>165</v>
      </c>
      <c r="D9" s="115">
        <v>2</v>
      </c>
      <c r="E9" s="116" t="s">
        <v>92</v>
      </c>
      <c r="F9" s="116">
        <v>90</v>
      </c>
      <c r="G9" s="117" t="s">
        <v>93</v>
      </c>
      <c r="H9" s="115">
        <v>52.085845189293465</v>
      </c>
      <c r="I9" s="115">
        <v>66.643518518518533</v>
      </c>
      <c r="J9" s="115">
        <v>5.2459016393442619</v>
      </c>
      <c r="K9" s="118">
        <v>6.1003992846193151</v>
      </c>
      <c r="L9" s="115">
        <f>(K9-J9)*6.25</f>
        <v>5.3406102829690827</v>
      </c>
      <c r="M9" s="115">
        <v>8.44</v>
      </c>
      <c r="N9" s="120">
        <v>1.8074460999999997</v>
      </c>
      <c r="O9" s="120">
        <v>1.2904246000000001</v>
      </c>
      <c r="P9" s="120">
        <v>0.28985059999999996</v>
      </c>
      <c r="Q9" s="120">
        <v>0.10005</v>
      </c>
      <c r="R9" s="115">
        <f t="shared" si="0"/>
        <v>34.750146658626356</v>
      </c>
      <c r="S9" s="115">
        <v>20.6961687338144</v>
      </c>
      <c r="T9" s="115">
        <v>9.2088685263806589</v>
      </c>
      <c r="U9" s="115">
        <v>4.8451093984312985</v>
      </c>
    </row>
    <row r="10" spans="1:22" x14ac:dyDescent="0.3">
      <c r="A10" s="108" t="s">
        <v>109</v>
      </c>
      <c r="B10" s="108">
        <v>17.5</v>
      </c>
      <c r="C10" s="108" t="s">
        <v>166</v>
      </c>
      <c r="D10" s="108">
        <v>1</v>
      </c>
      <c r="E10" s="112" t="s">
        <v>94</v>
      </c>
      <c r="F10" s="112">
        <v>90</v>
      </c>
      <c r="G10" s="113" t="s">
        <v>95</v>
      </c>
      <c r="H10" s="108">
        <v>69.575319478507794</v>
      </c>
      <c r="I10" s="108">
        <v>69.792545117220456</v>
      </c>
      <c r="J10" s="108">
        <v>5.0998948475289172</v>
      </c>
      <c r="K10" s="114">
        <v>6.4707856071964018</v>
      </c>
      <c r="L10" s="108">
        <f>(K10-J10)*6.25</f>
        <v>8.5680672479217783</v>
      </c>
      <c r="M10" s="108">
        <v>7.77</v>
      </c>
      <c r="N10" s="109">
        <v>2.6413013000000003</v>
      </c>
      <c r="O10" s="109">
        <v>1.1864869</v>
      </c>
      <c r="P10" s="109">
        <v>1.0603838000000001</v>
      </c>
      <c r="Q10" s="109">
        <v>0</v>
      </c>
      <c r="R10" s="108">
        <f t="shared" si="0"/>
        <v>33.042357109495555</v>
      </c>
      <c r="S10" s="108">
        <v>19.014124750635354</v>
      </c>
      <c r="T10" s="108">
        <v>8.6801082408853318</v>
      </c>
      <c r="U10" s="108">
        <v>5.3481241179748684</v>
      </c>
    </row>
    <row r="11" spans="1:22" x14ac:dyDescent="0.3">
      <c r="A11" s="108" t="s">
        <v>109</v>
      </c>
      <c r="B11" s="108">
        <v>17.5</v>
      </c>
      <c r="C11" s="108" t="s">
        <v>166</v>
      </c>
      <c r="D11" s="108">
        <v>2</v>
      </c>
      <c r="E11" s="112" t="s">
        <v>96</v>
      </c>
      <c r="F11" s="112">
        <v>90</v>
      </c>
      <c r="G11" s="113" t="s">
        <v>97</v>
      </c>
      <c r="H11" s="108">
        <v>73.329607016940415</v>
      </c>
      <c r="I11" s="108">
        <v>71.181471709176193</v>
      </c>
      <c r="J11" s="108">
        <v>4.9893842887473463</v>
      </c>
      <c r="K11" s="114">
        <v>6.6483098613251155</v>
      </c>
      <c r="L11" s="108">
        <f>(K11-J11)*6.25</f>
        <v>10.368284828611058</v>
      </c>
      <c r="M11" s="108">
        <v>7.63</v>
      </c>
      <c r="N11" s="109">
        <v>9.1491196000000024</v>
      </c>
      <c r="O11" s="109">
        <v>1.1566551</v>
      </c>
      <c r="P11" s="109">
        <v>5.9820229999999999</v>
      </c>
      <c r="Q11" s="109">
        <v>0.78681389999999995</v>
      </c>
      <c r="R11" s="108">
        <f t="shared" si="0"/>
        <v>30.110008194817411</v>
      </c>
      <c r="S11" s="108">
        <v>17.48438478860804</v>
      </c>
      <c r="T11" s="108">
        <v>7.818821024165886</v>
      </c>
      <c r="U11" s="108">
        <v>4.8068023820434869</v>
      </c>
    </row>
    <row r="12" spans="1:22" x14ac:dyDescent="0.3">
      <c r="A12" s="108" t="s">
        <v>152</v>
      </c>
      <c r="B12" s="108">
        <v>17.5</v>
      </c>
      <c r="C12" s="108" t="s">
        <v>165</v>
      </c>
      <c r="D12" s="108">
        <v>1</v>
      </c>
      <c r="E12" s="112" t="s">
        <v>98</v>
      </c>
      <c r="F12" s="112">
        <v>0</v>
      </c>
      <c r="G12" s="113" t="s">
        <v>77</v>
      </c>
      <c r="H12" s="108">
        <v>58.192826414988232</v>
      </c>
      <c r="I12" s="108">
        <v>77.226606538895155</v>
      </c>
      <c r="J12" s="108">
        <v>3.6666666666666665</v>
      </c>
      <c r="K12" s="114">
        <v>4.8480421541826137</v>
      </c>
      <c r="L12" s="108">
        <f>(K12-J12)*6.25</f>
        <v>7.3835967969746701</v>
      </c>
      <c r="M12" s="108">
        <v>8.23</v>
      </c>
      <c r="N12" s="109">
        <v>7.8243480000000005</v>
      </c>
      <c r="O12" s="109">
        <v>4.4334476</v>
      </c>
      <c r="P12" s="109">
        <v>1.3308895000000001</v>
      </c>
      <c r="Q12" s="109">
        <v>0.279889</v>
      </c>
      <c r="R12" s="108">
        <f t="shared" si="0"/>
        <v>38.320977862866279</v>
      </c>
      <c r="S12" s="108">
        <v>21.843675655125121</v>
      </c>
      <c r="T12" s="108">
        <v>11.999577934140852</v>
      </c>
      <c r="U12" s="108">
        <v>4.4777242736003116</v>
      </c>
    </row>
    <row r="13" spans="1:22" x14ac:dyDescent="0.3">
      <c r="A13" s="108" t="s">
        <v>152</v>
      </c>
      <c r="B13" s="108">
        <v>17.5</v>
      </c>
      <c r="C13" s="108" t="s">
        <v>165</v>
      </c>
      <c r="D13" s="108">
        <v>2</v>
      </c>
      <c r="E13" s="112" t="s">
        <v>100</v>
      </c>
      <c r="F13" s="112">
        <v>0</v>
      </c>
      <c r="G13" s="113" t="s">
        <v>82</v>
      </c>
      <c r="H13" s="108">
        <v>57.571904679342708</v>
      </c>
      <c r="I13" s="108">
        <v>76.878032457754713</v>
      </c>
      <c r="J13" s="108">
        <v>3.6809815950920246</v>
      </c>
      <c r="K13" s="114">
        <v>4.8085181865554985</v>
      </c>
      <c r="L13" s="108">
        <f>(K13-J13)*6.25</f>
        <v>7.0471036966467118</v>
      </c>
      <c r="M13" s="108">
        <v>8.24</v>
      </c>
      <c r="N13" s="109">
        <v>7.7468418000000021</v>
      </c>
      <c r="O13" s="109">
        <v>4.3844021</v>
      </c>
      <c r="P13" s="109">
        <v>1.3110832000000001</v>
      </c>
      <c r="Q13" s="109">
        <v>0.26892460000000001</v>
      </c>
      <c r="R13" s="108">
        <f t="shared" si="0"/>
        <v>41.656015825841536</v>
      </c>
      <c r="S13" s="108">
        <v>23.576222800270919</v>
      </c>
      <c r="T13" s="108">
        <v>13.381009509592833</v>
      </c>
      <c r="U13" s="108">
        <v>4.6987835159777838</v>
      </c>
    </row>
    <row r="14" spans="1:22" x14ac:dyDescent="0.3">
      <c r="A14" s="108" t="s">
        <v>152</v>
      </c>
      <c r="B14" s="108">
        <v>17.5</v>
      </c>
      <c r="C14" s="108" t="s">
        <v>166</v>
      </c>
      <c r="D14" s="108">
        <v>1</v>
      </c>
      <c r="E14" s="112" t="s">
        <v>101</v>
      </c>
      <c r="F14" s="112">
        <v>0</v>
      </c>
      <c r="G14" s="113" t="s">
        <v>84</v>
      </c>
      <c r="H14" s="108">
        <v>55.490039840637444</v>
      </c>
      <c r="I14" s="108">
        <v>76.258855064139397</v>
      </c>
      <c r="J14" s="108">
        <v>2.8556034482758617</v>
      </c>
      <c r="K14" s="114">
        <v>4.1243330328738077</v>
      </c>
      <c r="L14" s="108">
        <f>(K14-J14)*6.25</f>
        <v>7.9295599037371627</v>
      </c>
      <c r="M14" s="108">
        <v>7.01</v>
      </c>
      <c r="N14" s="109">
        <v>13.787284199999998</v>
      </c>
      <c r="O14" s="109">
        <v>6.4447573</v>
      </c>
      <c r="P14" s="109">
        <v>2.7129835999999998</v>
      </c>
      <c r="Q14" s="109">
        <v>0.58056140000000001</v>
      </c>
      <c r="R14" s="108">
        <f t="shared" si="0"/>
        <v>38.441400856872967</v>
      </c>
      <c r="S14" s="108">
        <v>21.662571353768605</v>
      </c>
      <c r="T14" s="108">
        <v>11.370513934888841</v>
      </c>
      <c r="U14" s="108">
        <v>5.40831556821552</v>
      </c>
    </row>
    <row r="15" spans="1:22" x14ac:dyDescent="0.3">
      <c r="A15" s="108" t="s">
        <v>152</v>
      </c>
      <c r="B15" s="108">
        <v>17.5</v>
      </c>
      <c r="C15" s="108" t="s">
        <v>166</v>
      </c>
      <c r="D15" s="108">
        <v>2</v>
      </c>
      <c r="E15" s="112" t="s">
        <v>102</v>
      </c>
      <c r="F15" s="112">
        <v>0</v>
      </c>
      <c r="G15" s="113" t="s">
        <v>84</v>
      </c>
      <c r="H15" s="108">
        <v>60.630707615645171</v>
      </c>
      <c r="I15" s="108">
        <v>77.755136695534048</v>
      </c>
      <c r="J15" s="108">
        <v>2.9721955896452541</v>
      </c>
      <c r="K15" s="114">
        <v>4.0687773658536583</v>
      </c>
      <c r="L15" s="108">
        <f>(K15-J15)*6.25</f>
        <v>6.8536361013025262</v>
      </c>
      <c r="M15" s="108">
        <v>7.11</v>
      </c>
      <c r="N15" s="109">
        <v>13.917370100000001</v>
      </c>
      <c r="O15" s="109">
        <v>6.2929710999999999</v>
      </c>
      <c r="P15" s="109">
        <v>2.6770264000000004</v>
      </c>
      <c r="Q15" s="109">
        <v>0.56784060000000003</v>
      </c>
      <c r="R15" s="108">
        <f t="shared" si="0"/>
        <v>42.476759242022204</v>
      </c>
      <c r="S15" s="108">
        <v>24.478502604496153</v>
      </c>
      <c r="T15" s="108">
        <v>9.0447121813675331</v>
      </c>
      <c r="U15" s="108">
        <v>8.953544456158518</v>
      </c>
    </row>
    <row r="16" spans="1:22" x14ac:dyDescent="0.3">
      <c r="A16" s="108" t="s">
        <v>152</v>
      </c>
      <c r="B16" s="108">
        <v>17.5</v>
      </c>
      <c r="C16" s="108" t="s">
        <v>165</v>
      </c>
      <c r="D16" s="108">
        <v>1</v>
      </c>
      <c r="E16" s="112" t="s">
        <v>103</v>
      </c>
      <c r="F16" s="112">
        <v>30</v>
      </c>
      <c r="G16" s="113" t="s">
        <v>87</v>
      </c>
      <c r="H16" s="108">
        <v>52.142554512222759</v>
      </c>
      <c r="I16" s="108">
        <v>74.905517762660608</v>
      </c>
      <c r="J16" s="108">
        <v>3.9589442815249272</v>
      </c>
      <c r="K16" s="114">
        <v>4.7495014854111401</v>
      </c>
      <c r="L16" s="108">
        <f>(K16-J16)*6.25</f>
        <v>4.940982524288831</v>
      </c>
      <c r="M16" s="108">
        <v>7.6</v>
      </c>
      <c r="N16" s="109">
        <v>5.6201846</v>
      </c>
      <c r="O16" s="109">
        <v>3.7966587000000001</v>
      </c>
      <c r="P16" s="109">
        <v>1.1341470999999999</v>
      </c>
      <c r="Q16" s="109">
        <v>0.41167790000000004</v>
      </c>
      <c r="R16" s="108">
        <f t="shared" si="0"/>
        <v>39.937590382410733</v>
      </c>
      <c r="S16" s="108">
        <v>22.400568659224916</v>
      </c>
      <c r="T16" s="108">
        <v>12.107883535775592</v>
      </c>
      <c r="U16" s="108">
        <v>5.4291381874102251</v>
      </c>
    </row>
    <row r="17" spans="1:21" x14ac:dyDescent="0.3">
      <c r="A17" s="108" t="s">
        <v>152</v>
      </c>
      <c r="B17" s="108">
        <v>17.5</v>
      </c>
      <c r="C17" s="108" t="s">
        <v>165</v>
      </c>
      <c r="D17" s="108">
        <v>2</v>
      </c>
      <c r="E17" s="112" t="s">
        <v>104</v>
      </c>
      <c r="F17" s="112">
        <v>30</v>
      </c>
      <c r="G17" s="113" t="s">
        <v>89</v>
      </c>
      <c r="H17" s="108">
        <v>52.64225580687696</v>
      </c>
      <c r="I17" s="108">
        <v>75.394990366088635</v>
      </c>
      <c r="J17" s="108">
        <v>3.531598513011152</v>
      </c>
      <c r="K17" s="114">
        <v>4.7054221088435373</v>
      </c>
      <c r="L17" s="108">
        <f>(K17-J17)*6.25</f>
        <v>7.3363974739524078</v>
      </c>
      <c r="M17" s="108">
        <v>7.59</v>
      </c>
      <c r="N17" s="109">
        <v>11.938849999999999</v>
      </c>
      <c r="O17" s="109">
        <v>6.9187933999999993</v>
      </c>
      <c r="P17" s="109">
        <v>2.4890702</v>
      </c>
      <c r="Q17" s="109">
        <v>0.56210830000000001</v>
      </c>
      <c r="R17" s="108">
        <f t="shared" si="0"/>
        <v>40.08336923674868</v>
      </c>
      <c r="S17" s="108">
        <v>23.00091012199244</v>
      </c>
      <c r="T17" s="108">
        <v>11.736529295298933</v>
      </c>
      <c r="U17" s="108">
        <v>5.3459298194573144</v>
      </c>
    </row>
    <row r="18" spans="1:21" x14ac:dyDescent="0.3">
      <c r="A18" s="108" t="s">
        <v>152</v>
      </c>
      <c r="B18" s="108">
        <v>17.5</v>
      </c>
      <c r="C18" s="108" t="s">
        <v>165</v>
      </c>
      <c r="D18" s="108">
        <v>1</v>
      </c>
      <c r="E18" s="112" t="s">
        <v>105</v>
      </c>
      <c r="F18" s="112">
        <v>90</v>
      </c>
      <c r="G18" s="113" t="s">
        <v>91</v>
      </c>
      <c r="H18" s="108">
        <v>48.514715410441163</v>
      </c>
      <c r="I18" s="108">
        <v>72.561715904492104</v>
      </c>
      <c r="J18" s="108">
        <v>3.5384615384615388</v>
      </c>
      <c r="K18" s="114">
        <v>4.9761197236779422</v>
      </c>
      <c r="L18" s="108">
        <f>(K18-J18)*6.25</f>
        <v>8.9853636576025213</v>
      </c>
      <c r="M18" s="108">
        <v>7.68</v>
      </c>
      <c r="N18" s="109">
        <v>4.7097499999999997</v>
      </c>
      <c r="O18" s="109">
        <v>2.4368530000000002</v>
      </c>
      <c r="P18" s="109">
        <v>0.83562919999999996</v>
      </c>
      <c r="Q18" s="109">
        <v>0.55253089999999994</v>
      </c>
      <c r="R18" s="108">
        <f t="shared" si="0"/>
        <v>36.688656076696958</v>
      </c>
      <c r="S18" s="108">
        <v>19.918382679569877</v>
      </c>
      <c r="T18" s="108">
        <v>11.367449051180145</v>
      </c>
      <c r="U18" s="108">
        <v>5.4028243459469349</v>
      </c>
    </row>
    <row r="19" spans="1:21" x14ac:dyDescent="0.3">
      <c r="A19" s="108" t="s">
        <v>152</v>
      </c>
      <c r="B19" s="108">
        <v>17.5</v>
      </c>
      <c r="C19" s="108" t="s">
        <v>165</v>
      </c>
      <c r="D19" s="108">
        <v>2</v>
      </c>
      <c r="E19" s="112" t="s">
        <v>106</v>
      </c>
      <c r="F19" s="112">
        <v>90</v>
      </c>
      <c r="G19" s="113" t="s">
        <v>93</v>
      </c>
      <c r="H19" s="108">
        <v>46.816186514018781</v>
      </c>
      <c r="I19" s="108">
        <v>71.314031180400903</v>
      </c>
      <c r="J19" s="108">
        <v>4.5307443365695788</v>
      </c>
      <c r="K19" s="114">
        <v>4.7769359305431882</v>
      </c>
      <c r="L19" s="108">
        <f>(K19-J19)*6.25</f>
        <v>1.5386974623350591</v>
      </c>
      <c r="M19" s="108">
        <v>8.0299999999999994</v>
      </c>
      <c r="N19" s="109">
        <v>2.2600980000000006</v>
      </c>
      <c r="O19" s="109">
        <v>1.4380804</v>
      </c>
      <c r="P19" s="109">
        <v>0.51697990000000005</v>
      </c>
      <c r="Q19" s="109">
        <v>7.6197500000000001E-2</v>
      </c>
      <c r="R19" s="108">
        <f t="shared" si="0"/>
        <v>40.235869947762616</v>
      </c>
      <c r="S19" s="108">
        <v>22.140376692115744</v>
      </c>
      <c r="T19" s="108">
        <v>11.925602872326678</v>
      </c>
      <c r="U19" s="108">
        <v>6.1698903833201948</v>
      </c>
    </row>
    <row r="20" spans="1:21" x14ac:dyDescent="0.3">
      <c r="A20" s="108" t="s">
        <v>152</v>
      </c>
      <c r="B20" s="108">
        <v>17.5</v>
      </c>
      <c r="C20" s="108" t="s">
        <v>166</v>
      </c>
      <c r="D20" s="108">
        <v>1</v>
      </c>
      <c r="E20" s="112" t="s">
        <v>107</v>
      </c>
      <c r="F20" s="112">
        <v>90</v>
      </c>
      <c r="G20" s="113" t="s">
        <v>95</v>
      </c>
      <c r="H20" s="108">
        <v>45.496972452911464</v>
      </c>
      <c r="I20" s="108">
        <v>72.041031036296701</v>
      </c>
      <c r="J20" s="108">
        <v>3.3227848101265822</v>
      </c>
      <c r="K20" s="114">
        <v>4.0235907313997474</v>
      </c>
      <c r="L20" s="108">
        <f>(K20-J20)*6.25</f>
        <v>4.3800370079572826</v>
      </c>
      <c r="M20" s="108">
        <v>7.74</v>
      </c>
      <c r="N20" s="109">
        <v>10.9044937</v>
      </c>
      <c r="O20" s="109">
        <v>5.3573031000000002</v>
      </c>
      <c r="P20" s="109">
        <v>1.9224123</v>
      </c>
      <c r="Q20" s="109">
        <v>0.81376400000000004</v>
      </c>
      <c r="R20" s="108">
        <f t="shared" si="0"/>
        <v>28.973318855642386</v>
      </c>
      <c r="S20" s="108">
        <v>16.316164289237477</v>
      </c>
      <c r="T20" s="108">
        <v>7.808296025796273</v>
      </c>
      <c r="U20" s="108">
        <v>4.8488585406086342</v>
      </c>
    </row>
    <row r="21" spans="1:21" x14ac:dyDescent="0.3">
      <c r="A21" s="108" t="s">
        <v>152</v>
      </c>
      <c r="B21" s="108">
        <v>17.5</v>
      </c>
      <c r="C21" s="108" t="s">
        <v>166</v>
      </c>
      <c r="D21" s="108">
        <v>2</v>
      </c>
      <c r="E21" s="112" t="s">
        <v>108</v>
      </c>
      <c r="F21" s="112">
        <v>90</v>
      </c>
      <c r="G21" s="113" t="s">
        <v>97</v>
      </c>
      <c r="H21" s="108">
        <v>55.859696195957937</v>
      </c>
      <c r="I21" s="108">
        <v>76.583381754793734</v>
      </c>
      <c r="J21" s="108">
        <v>3.0793319415448854</v>
      </c>
      <c r="K21" s="114">
        <v>4.027507226683138</v>
      </c>
      <c r="L21" s="108">
        <f>(K21-J21)*6.25</f>
        <v>5.9260955321140782</v>
      </c>
      <c r="M21" s="108">
        <v>7.1</v>
      </c>
      <c r="N21" s="109">
        <v>11.048654699999998</v>
      </c>
      <c r="O21" s="109">
        <v>5.0284522999999997</v>
      </c>
      <c r="P21" s="109">
        <v>2.0509240000000002</v>
      </c>
      <c r="Q21" s="109">
        <v>0.75398119999999991</v>
      </c>
      <c r="R21" s="108">
        <f t="shared" si="0"/>
        <v>36.508426176345409</v>
      </c>
      <c r="S21" s="108">
        <v>20.368587561585489</v>
      </c>
      <c r="T21" s="108">
        <v>10.848677037291157</v>
      </c>
      <c r="U21" s="108">
        <v>5.2911615774687624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1590-7015-47EA-8EA9-A8A1C41A0C9F}">
  <dimension ref="A1:W22"/>
  <sheetViews>
    <sheetView topLeftCell="P1" workbookViewId="0">
      <selection activeCell="X1" sqref="X1:AK1048576"/>
    </sheetView>
  </sheetViews>
  <sheetFormatPr defaultRowHeight="14.4" x14ac:dyDescent="0.3"/>
  <sheetData>
    <row r="1" spans="1:23" ht="57.6" x14ac:dyDescent="0.3">
      <c r="B1" s="1" t="s">
        <v>56</v>
      </c>
      <c r="C1" s="1" t="s">
        <v>57</v>
      </c>
      <c r="D1" s="1" t="s">
        <v>58</v>
      </c>
      <c r="E1" s="1" t="s">
        <v>59</v>
      </c>
      <c r="H1" s="2" t="s">
        <v>60</v>
      </c>
      <c r="I1" s="2" t="s">
        <v>61</v>
      </c>
      <c r="J1" s="3" t="s">
        <v>62</v>
      </c>
      <c r="K1" s="2" t="s">
        <v>63</v>
      </c>
      <c r="L1" s="2" t="s">
        <v>64</v>
      </c>
      <c r="M1" s="4" t="s">
        <v>65</v>
      </c>
      <c r="N1" s="5"/>
      <c r="O1" s="6" t="s">
        <v>66</v>
      </c>
      <c r="P1" s="7" t="s">
        <v>67</v>
      </c>
      <c r="Q1" s="8" t="s">
        <v>68</v>
      </c>
      <c r="R1" s="7" t="s">
        <v>69</v>
      </c>
      <c r="S1" s="9" t="s">
        <v>70</v>
      </c>
      <c r="T1" s="10" t="s">
        <v>71</v>
      </c>
      <c r="U1" s="11" t="s">
        <v>72</v>
      </c>
      <c r="V1" s="10" t="s">
        <v>73</v>
      </c>
    </row>
    <row r="2" spans="1:23" ht="15" thickBot="1" x14ac:dyDescent="0.35">
      <c r="B2" s="1"/>
      <c r="C2" s="1"/>
      <c r="D2" s="1"/>
      <c r="E2" s="1"/>
      <c r="H2" s="12"/>
      <c r="I2" s="12"/>
      <c r="J2" s="13"/>
      <c r="K2" s="12"/>
      <c r="L2" s="12"/>
      <c r="M2" s="4"/>
      <c r="N2" s="14" t="s">
        <v>74</v>
      </c>
      <c r="O2" s="15" t="s">
        <v>63</v>
      </c>
      <c r="P2" s="16" t="s">
        <v>63</v>
      </c>
      <c r="Q2" s="16" t="s">
        <v>63</v>
      </c>
      <c r="R2" s="16" t="s">
        <v>63</v>
      </c>
      <c r="S2" s="17" t="s">
        <v>63</v>
      </c>
      <c r="T2" s="18" t="s">
        <v>75</v>
      </c>
      <c r="U2" s="19" t="s">
        <v>63</v>
      </c>
      <c r="V2" s="30" t="s">
        <v>75</v>
      </c>
      <c r="W2" s="32"/>
    </row>
    <row r="3" spans="1:23" s="25" customFormat="1" x14ac:dyDescent="0.3">
      <c r="A3" s="97">
        <v>1</v>
      </c>
      <c r="B3" s="97" t="s">
        <v>76</v>
      </c>
      <c r="C3" s="98" t="s">
        <v>77</v>
      </c>
      <c r="D3" s="97">
        <v>0</v>
      </c>
      <c r="E3" s="97" t="s">
        <v>78</v>
      </c>
      <c r="F3" s="104" t="s">
        <v>79</v>
      </c>
      <c r="G3" s="105" t="s">
        <v>80</v>
      </c>
      <c r="H3" s="99">
        <v>1.81</v>
      </c>
      <c r="I3" s="99">
        <v>8.0097000000000005</v>
      </c>
      <c r="J3" s="24">
        <f t="shared" ref="J3:J22" si="0">+(I3*1.401)/H3</f>
        <v>6.1997733149171275</v>
      </c>
      <c r="K3" s="25">
        <v>0.94299999999999995</v>
      </c>
      <c r="L3" s="25">
        <v>84</v>
      </c>
      <c r="M3" s="25">
        <f t="shared" ref="M3:M22" si="1">+(L3*50)/K3</f>
        <v>4453.8706256627784</v>
      </c>
      <c r="N3" s="100">
        <v>8.25</v>
      </c>
      <c r="O3" s="101">
        <v>4.3040000000000003</v>
      </c>
      <c r="P3" s="101">
        <v>71.48</v>
      </c>
      <c r="Q3" s="101">
        <f t="shared" ref="Q3:Q22" si="2">+P3-O3</f>
        <v>67.176000000000002</v>
      </c>
      <c r="R3" s="101">
        <v>8.74</v>
      </c>
      <c r="S3" s="102">
        <f t="shared" ref="S3:S22" si="3">+R3-O3</f>
        <v>4.4359999999999999</v>
      </c>
      <c r="T3" s="28">
        <f t="shared" ref="T3:T22" si="4">+(S3/Q3)*100</f>
        <v>6.6035488865070855</v>
      </c>
      <c r="U3" s="102">
        <v>5.4630000000000001</v>
      </c>
      <c r="V3" s="103">
        <f t="shared" ref="V3:V22" si="5">+((R3-U3)/S3)*100</f>
        <v>73.87285843101894</v>
      </c>
      <c r="W3" s="106" t="s">
        <v>109</v>
      </c>
    </row>
    <row r="4" spans="1:23" s="25" customFormat="1" x14ac:dyDescent="0.3">
      <c r="A4" s="97">
        <v>2</v>
      </c>
      <c r="B4" s="97" t="s">
        <v>81</v>
      </c>
      <c r="C4" s="98" t="s">
        <v>82</v>
      </c>
      <c r="D4" s="97">
        <v>0</v>
      </c>
      <c r="E4" s="97" t="s">
        <v>78</v>
      </c>
      <c r="F4" s="104"/>
      <c r="G4" s="105"/>
      <c r="H4" s="99">
        <v>1.8280000000000001</v>
      </c>
      <c r="I4" s="99">
        <v>8.1232000000000006</v>
      </c>
      <c r="J4" s="24">
        <f t="shared" si="0"/>
        <v>6.2257129102844644</v>
      </c>
      <c r="K4" s="25">
        <v>0.90100000000000002</v>
      </c>
      <c r="L4" s="25">
        <v>71</v>
      </c>
      <c r="M4" s="25">
        <f t="shared" si="1"/>
        <v>3940.0665926748056</v>
      </c>
      <c r="N4" s="25">
        <v>8.75</v>
      </c>
      <c r="O4" s="25">
        <v>4.3120000000000003</v>
      </c>
      <c r="P4" s="25">
        <v>88.781000000000006</v>
      </c>
      <c r="Q4" s="101">
        <f t="shared" si="2"/>
        <v>84.469000000000008</v>
      </c>
      <c r="R4" s="25">
        <v>9.9749999999999996</v>
      </c>
      <c r="S4" s="102">
        <f t="shared" si="3"/>
        <v>5.6629999999999994</v>
      </c>
      <c r="T4" s="28">
        <f t="shared" si="4"/>
        <v>6.7042346896494562</v>
      </c>
      <c r="U4" s="102">
        <v>5.7359999999999998</v>
      </c>
      <c r="V4" s="103">
        <f t="shared" si="5"/>
        <v>74.854317499558547</v>
      </c>
      <c r="W4" s="106"/>
    </row>
    <row r="5" spans="1:23" x14ac:dyDescent="0.3">
      <c r="A5" s="20">
        <v>3</v>
      </c>
      <c r="B5" s="20" t="s">
        <v>83</v>
      </c>
      <c r="C5" s="21" t="s">
        <v>84</v>
      </c>
      <c r="D5" s="20">
        <v>0</v>
      </c>
      <c r="E5" s="22" t="s">
        <v>78</v>
      </c>
      <c r="F5" s="104"/>
      <c r="G5" s="105"/>
      <c r="H5" s="23">
        <v>1.873</v>
      </c>
      <c r="I5" s="23">
        <v>8.8794000000000004</v>
      </c>
      <c r="J5" s="24">
        <f t="shared" si="0"/>
        <v>6.6417722370528569</v>
      </c>
      <c r="K5">
        <v>0.92300000000000004</v>
      </c>
      <c r="L5">
        <v>92</v>
      </c>
      <c r="M5" s="25">
        <f t="shared" si="1"/>
        <v>4983.7486457204768</v>
      </c>
      <c r="N5">
        <v>7.13</v>
      </c>
      <c r="O5">
        <v>4.3049999999999997</v>
      </c>
      <c r="P5">
        <v>111.575</v>
      </c>
      <c r="Q5" s="26">
        <f t="shared" si="2"/>
        <v>107.27000000000001</v>
      </c>
      <c r="R5">
        <v>13.029</v>
      </c>
      <c r="S5" s="27">
        <f t="shared" si="3"/>
        <v>8.7240000000000002</v>
      </c>
      <c r="T5" s="28">
        <f t="shared" si="4"/>
        <v>8.1327491376899399</v>
      </c>
      <c r="U5" s="29">
        <v>6.5019999999999998</v>
      </c>
      <c r="V5" s="31">
        <f t="shared" si="5"/>
        <v>74.816597890875741</v>
      </c>
      <c r="W5" s="106"/>
    </row>
    <row r="6" spans="1:23" x14ac:dyDescent="0.3">
      <c r="A6" s="20">
        <v>4</v>
      </c>
      <c r="B6" s="20" t="s">
        <v>85</v>
      </c>
      <c r="C6" s="21" t="s">
        <v>84</v>
      </c>
      <c r="D6" s="20">
        <v>0</v>
      </c>
      <c r="E6" s="22" t="s">
        <v>78</v>
      </c>
      <c r="F6" s="104"/>
      <c r="G6" s="105"/>
      <c r="H6" s="23">
        <v>1.919</v>
      </c>
      <c r="I6" s="23">
        <v>9.1603999999999992</v>
      </c>
      <c r="J6" s="24">
        <f t="shared" si="0"/>
        <v>6.6877125586242832</v>
      </c>
      <c r="K6">
        <v>0.96</v>
      </c>
      <c r="L6">
        <v>95</v>
      </c>
      <c r="M6" s="25">
        <f t="shared" si="1"/>
        <v>4947.916666666667</v>
      </c>
      <c r="N6">
        <v>7.12</v>
      </c>
      <c r="O6">
        <v>4.3019999999999996</v>
      </c>
      <c r="P6">
        <v>104.94499999999999</v>
      </c>
      <c r="Q6" s="26">
        <f t="shared" si="2"/>
        <v>100.643</v>
      </c>
      <c r="R6">
        <v>12.191000000000001</v>
      </c>
      <c r="S6" s="27">
        <f t="shared" si="3"/>
        <v>7.8890000000000011</v>
      </c>
      <c r="T6" s="28">
        <f t="shared" si="4"/>
        <v>7.8385978160428458</v>
      </c>
      <c r="U6" s="29">
        <v>6.3170000000000002</v>
      </c>
      <c r="V6" s="31">
        <f t="shared" si="5"/>
        <v>74.458106223856007</v>
      </c>
      <c r="W6" s="106"/>
    </row>
    <row r="7" spans="1:23" s="25" customFormat="1" x14ac:dyDescent="0.3">
      <c r="A7" s="97">
        <v>5</v>
      </c>
      <c r="B7" s="97" t="s">
        <v>86</v>
      </c>
      <c r="C7" s="98" t="s">
        <v>87</v>
      </c>
      <c r="D7" s="97">
        <v>30</v>
      </c>
      <c r="E7" s="97" t="s">
        <v>78</v>
      </c>
      <c r="F7" s="104"/>
      <c r="G7" s="105"/>
      <c r="H7" s="99">
        <v>1.9319999999999999</v>
      </c>
      <c r="I7" s="99">
        <v>8.6456999999999997</v>
      </c>
      <c r="J7" s="24">
        <f t="shared" si="0"/>
        <v>6.2694750000000008</v>
      </c>
      <c r="K7" s="25">
        <v>0.94199999999999995</v>
      </c>
      <c r="L7" s="25">
        <v>83</v>
      </c>
      <c r="M7" s="25">
        <f t="shared" si="1"/>
        <v>4405.5201698513802</v>
      </c>
      <c r="N7" s="25">
        <v>7.58</v>
      </c>
      <c r="O7" s="25">
        <v>4.306</v>
      </c>
      <c r="P7" s="25">
        <v>86.766000000000005</v>
      </c>
      <c r="Q7" s="101">
        <f t="shared" si="2"/>
        <v>82.460000000000008</v>
      </c>
      <c r="R7" s="25">
        <v>9.2219999999999995</v>
      </c>
      <c r="S7" s="102">
        <f t="shared" si="3"/>
        <v>4.9159999999999995</v>
      </c>
      <c r="T7" s="28">
        <f t="shared" si="4"/>
        <v>5.9616783895221914</v>
      </c>
      <c r="U7" s="102">
        <v>5.69</v>
      </c>
      <c r="V7" s="103">
        <f t="shared" si="5"/>
        <v>71.847030105777037</v>
      </c>
      <c r="W7" s="106"/>
    </row>
    <row r="8" spans="1:23" s="25" customFormat="1" x14ac:dyDescent="0.3">
      <c r="A8" s="97">
        <v>6</v>
      </c>
      <c r="B8" s="97" t="s">
        <v>88</v>
      </c>
      <c r="C8" s="98" t="s">
        <v>89</v>
      </c>
      <c r="D8" s="97">
        <v>30</v>
      </c>
      <c r="E8" s="97" t="s">
        <v>78</v>
      </c>
      <c r="F8" s="104"/>
      <c r="G8" s="105"/>
      <c r="H8" s="99">
        <v>1.861</v>
      </c>
      <c r="I8" s="99">
        <v>8.4495000000000005</v>
      </c>
      <c r="J8" s="24">
        <f t="shared" si="0"/>
        <v>6.3609615797958092</v>
      </c>
      <c r="K8" s="25">
        <v>1.0629999999999999</v>
      </c>
      <c r="L8" s="25">
        <v>108</v>
      </c>
      <c r="M8" s="25">
        <f t="shared" si="1"/>
        <v>5079.9623706491066</v>
      </c>
      <c r="N8" s="25">
        <v>7.52</v>
      </c>
      <c r="O8" s="25">
        <v>4.298</v>
      </c>
      <c r="P8" s="25">
        <v>94.994</v>
      </c>
      <c r="Q8" s="101">
        <f t="shared" si="2"/>
        <v>90.695999999999998</v>
      </c>
      <c r="R8" s="25">
        <v>9.6310000000000002</v>
      </c>
      <c r="S8" s="102">
        <f t="shared" si="3"/>
        <v>5.3330000000000002</v>
      </c>
      <c r="T8" s="28">
        <f t="shared" si="4"/>
        <v>5.8800829143512399</v>
      </c>
      <c r="U8" s="102">
        <v>5.8339999999999996</v>
      </c>
      <c r="V8" s="103">
        <f t="shared" si="5"/>
        <v>71.198199887492976</v>
      </c>
      <c r="W8" s="106"/>
    </row>
    <row r="9" spans="1:23" x14ac:dyDescent="0.3">
      <c r="A9" s="20">
        <v>7</v>
      </c>
      <c r="B9" s="20" t="s">
        <v>90</v>
      </c>
      <c r="C9" s="21" t="s">
        <v>91</v>
      </c>
      <c r="D9" s="20">
        <v>90</v>
      </c>
      <c r="E9" s="22" t="s">
        <v>78</v>
      </c>
      <c r="F9" s="104"/>
      <c r="G9" s="105"/>
      <c r="H9" s="23">
        <v>1.9650000000000001</v>
      </c>
      <c r="I9" s="23">
        <v>8.6773000000000007</v>
      </c>
      <c r="J9" s="24">
        <f t="shared" si="0"/>
        <v>6.1867161832061068</v>
      </c>
      <c r="K9">
        <v>0.97299999999999998</v>
      </c>
      <c r="L9">
        <v>103</v>
      </c>
      <c r="M9" s="25">
        <f t="shared" si="1"/>
        <v>5292.9085303186021</v>
      </c>
      <c r="N9">
        <v>7.84</v>
      </c>
      <c r="O9">
        <v>4.3040000000000003</v>
      </c>
      <c r="P9">
        <v>88.850999999999999</v>
      </c>
      <c r="Q9" s="26">
        <f t="shared" si="2"/>
        <v>84.546999999999997</v>
      </c>
      <c r="R9">
        <v>9.1739999999999995</v>
      </c>
      <c r="S9" s="27">
        <f t="shared" si="3"/>
        <v>4.8699999999999992</v>
      </c>
      <c r="T9" s="28">
        <f t="shared" si="4"/>
        <v>5.7601097614344674</v>
      </c>
      <c r="U9" s="29">
        <v>5.7859999999999996</v>
      </c>
      <c r="V9" s="31">
        <f t="shared" si="5"/>
        <v>69.568788501026702</v>
      </c>
      <c r="W9" s="106"/>
    </row>
    <row r="10" spans="1:23" x14ac:dyDescent="0.3">
      <c r="A10" s="20">
        <v>8</v>
      </c>
      <c r="B10" s="20" t="s">
        <v>92</v>
      </c>
      <c r="C10" s="21" t="s">
        <v>93</v>
      </c>
      <c r="D10" s="20">
        <v>90</v>
      </c>
      <c r="E10" s="22" t="s">
        <v>78</v>
      </c>
      <c r="F10" s="104"/>
      <c r="G10" s="105"/>
      <c r="H10" s="23">
        <v>1.9570000000000001</v>
      </c>
      <c r="I10" s="23">
        <v>8.5213999999999999</v>
      </c>
      <c r="J10" s="24">
        <f t="shared" si="0"/>
        <v>6.1003992846193151</v>
      </c>
      <c r="K10">
        <v>0.91500000000000004</v>
      </c>
      <c r="L10">
        <v>96</v>
      </c>
      <c r="M10" s="25">
        <f t="shared" si="1"/>
        <v>5245.9016393442616</v>
      </c>
      <c r="N10">
        <v>8.44</v>
      </c>
      <c r="O10">
        <v>4.3079999999999998</v>
      </c>
      <c r="P10">
        <v>87.248000000000005</v>
      </c>
      <c r="Q10" s="26">
        <f t="shared" si="2"/>
        <v>82.94</v>
      </c>
      <c r="R10">
        <v>8.6280000000000001</v>
      </c>
      <c r="S10" s="27">
        <f t="shared" si="3"/>
        <v>4.32</v>
      </c>
      <c r="T10" s="28">
        <f t="shared" si="4"/>
        <v>5.2085845189293467</v>
      </c>
      <c r="U10" s="29">
        <v>5.7489999999999997</v>
      </c>
      <c r="V10" s="31">
        <f t="shared" si="5"/>
        <v>66.643518518518533</v>
      </c>
      <c r="W10" s="106"/>
    </row>
    <row r="11" spans="1:23" s="25" customFormat="1" x14ac:dyDescent="0.3">
      <c r="A11" s="97">
        <v>9</v>
      </c>
      <c r="B11" s="97" t="s">
        <v>94</v>
      </c>
      <c r="C11" s="98" t="s">
        <v>95</v>
      </c>
      <c r="D11" s="97">
        <v>90</v>
      </c>
      <c r="E11" s="97" t="s">
        <v>78</v>
      </c>
      <c r="F11" s="104"/>
      <c r="G11" s="105"/>
      <c r="H11" s="99">
        <v>2.0009999999999999</v>
      </c>
      <c r="I11" s="99">
        <v>9.2419999999999991</v>
      </c>
      <c r="J11" s="24">
        <f t="shared" si="0"/>
        <v>6.4707856071964018</v>
      </c>
      <c r="K11" s="25">
        <v>0.95099999999999996</v>
      </c>
      <c r="L11" s="25">
        <v>97</v>
      </c>
      <c r="M11" s="25">
        <f t="shared" si="1"/>
        <v>5099.8948475289171</v>
      </c>
      <c r="N11" s="25">
        <v>7.77</v>
      </c>
      <c r="O11" s="25">
        <v>4.3170000000000002</v>
      </c>
      <c r="P11" s="25">
        <v>89.534000000000006</v>
      </c>
      <c r="Q11" s="101">
        <f t="shared" si="2"/>
        <v>85.217000000000013</v>
      </c>
      <c r="R11" s="25">
        <v>10.246</v>
      </c>
      <c r="S11" s="102">
        <f t="shared" si="3"/>
        <v>5.9290000000000003</v>
      </c>
      <c r="T11" s="28">
        <f t="shared" si="4"/>
        <v>6.9575319478507796</v>
      </c>
      <c r="U11" s="102">
        <v>6.1079999999999997</v>
      </c>
      <c r="V11" s="103">
        <f t="shared" si="5"/>
        <v>69.792545117220456</v>
      </c>
      <c r="W11" s="106"/>
    </row>
    <row r="12" spans="1:23" s="25" customFormat="1" x14ac:dyDescent="0.3">
      <c r="A12" s="97">
        <v>10</v>
      </c>
      <c r="B12" s="97" t="s">
        <v>96</v>
      </c>
      <c r="C12" s="98" t="s">
        <v>97</v>
      </c>
      <c r="D12" s="97">
        <v>90</v>
      </c>
      <c r="E12" s="97" t="s">
        <v>78</v>
      </c>
      <c r="F12" s="104"/>
      <c r="G12" s="105"/>
      <c r="H12" s="99">
        <v>1.9470000000000001</v>
      </c>
      <c r="I12" s="99">
        <v>9.2393000000000001</v>
      </c>
      <c r="J12" s="24">
        <f t="shared" si="0"/>
        <v>6.6483098613251155</v>
      </c>
      <c r="K12" s="25">
        <v>0.94199999999999995</v>
      </c>
      <c r="L12" s="25">
        <v>94</v>
      </c>
      <c r="M12" s="25">
        <f t="shared" si="1"/>
        <v>4989.3842887473465</v>
      </c>
      <c r="N12" s="25">
        <v>7.63</v>
      </c>
      <c r="O12" s="25">
        <v>4.306</v>
      </c>
      <c r="P12" s="25">
        <v>97.337999999999994</v>
      </c>
      <c r="Q12" s="101">
        <f t="shared" si="2"/>
        <v>93.031999999999996</v>
      </c>
      <c r="R12" s="25">
        <v>11.128</v>
      </c>
      <c r="S12" s="102">
        <f t="shared" si="3"/>
        <v>6.8220000000000001</v>
      </c>
      <c r="T12" s="28">
        <f t="shared" si="4"/>
        <v>7.3329607016940415</v>
      </c>
      <c r="U12" s="102">
        <v>6.2720000000000002</v>
      </c>
      <c r="V12" s="103">
        <f t="shared" si="5"/>
        <v>71.181471709176193</v>
      </c>
      <c r="W12" s="106"/>
    </row>
    <row r="13" spans="1:23" s="25" customFormat="1" x14ac:dyDescent="0.3">
      <c r="A13" s="97">
        <v>11</v>
      </c>
      <c r="B13" s="97" t="s">
        <v>98</v>
      </c>
      <c r="C13" s="98" t="s">
        <v>77</v>
      </c>
      <c r="D13" s="97">
        <v>0</v>
      </c>
      <c r="E13" s="97" t="s">
        <v>78</v>
      </c>
      <c r="F13" s="104" t="s">
        <v>99</v>
      </c>
      <c r="G13" s="105" t="s">
        <v>80</v>
      </c>
      <c r="H13" s="99">
        <v>1.829</v>
      </c>
      <c r="I13" s="99">
        <v>6.3290999999999995</v>
      </c>
      <c r="J13" s="24">
        <f t="shared" si="0"/>
        <v>4.8480421541826137</v>
      </c>
      <c r="K13" s="25">
        <v>0.9</v>
      </c>
      <c r="L13" s="25">
        <v>66</v>
      </c>
      <c r="M13" s="25">
        <f t="shared" si="1"/>
        <v>3666.6666666666665</v>
      </c>
      <c r="N13" s="25">
        <v>8.23</v>
      </c>
      <c r="O13" s="25">
        <v>4.3070000000000004</v>
      </c>
      <c r="P13" s="25">
        <v>111.004</v>
      </c>
      <c r="Q13" s="101">
        <f t="shared" si="2"/>
        <v>106.697</v>
      </c>
      <c r="R13" s="25">
        <v>10.516</v>
      </c>
      <c r="S13" s="102">
        <f t="shared" si="3"/>
        <v>6.2089999999999996</v>
      </c>
      <c r="T13" s="28">
        <f t="shared" si="4"/>
        <v>5.8192826414988232</v>
      </c>
      <c r="U13" s="102">
        <v>5.7210000000000001</v>
      </c>
      <c r="V13" s="103">
        <f t="shared" si="5"/>
        <v>77.226606538895155</v>
      </c>
      <c r="W13" s="106" t="s">
        <v>110</v>
      </c>
    </row>
    <row r="14" spans="1:23" s="25" customFormat="1" x14ac:dyDescent="0.3">
      <c r="A14" s="97">
        <v>12</v>
      </c>
      <c r="B14" s="97" t="s">
        <v>100</v>
      </c>
      <c r="C14" s="98" t="s">
        <v>82</v>
      </c>
      <c r="D14" s="97">
        <v>0</v>
      </c>
      <c r="E14" s="97" t="s">
        <v>78</v>
      </c>
      <c r="F14" s="104"/>
      <c r="G14" s="105"/>
      <c r="H14" s="99">
        <v>1.919</v>
      </c>
      <c r="I14" s="99">
        <v>6.5864000000000003</v>
      </c>
      <c r="J14" s="24">
        <f t="shared" si="0"/>
        <v>4.8085181865554985</v>
      </c>
      <c r="K14" s="25">
        <v>0.97799999999999998</v>
      </c>
      <c r="L14" s="25">
        <v>72</v>
      </c>
      <c r="M14" s="25">
        <f t="shared" si="1"/>
        <v>3680.9815950920247</v>
      </c>
      <c r="N14" s="25">
        <v>8.24</v>
      </c>
      <c r="O14" s="25">
        <v>4.298</v>
      </c>
      <c r="P14" s="25">
        <v>108.116</v>
      </c>
      <c r="Q14" s="101">
        <f t="shared" si="2"/>
        <v>103.818</v>
      </c>
      <c r="R14" s="25">
        <v>10.275</v>
      </c>
      <c r="S14" s="102">
        <f t="shared" si="3"/>
        <v>5.9770000000000003</v>
      </c>
      <c r="T14" s="28">
        <f t="shared" si="4"/>
        <v>5.7571904679342705</v>
      </c>
      <c r="U14" s="102">
        <v>5.68</v>
      </c>
      <c r="V14" s="103">
        <f t="shared" si="5"/>
        <v>76.878032457754728</v>
      </c>
      <c r="W14" s="106"/>
    </row>
    <row r="15" spans="1:23" x14ac:dyDescent="0.3">
      <c r="A15" s="20">
        <v>13</v>
      </c>
      <c r="B15" s="20" t="s">
        <v>101</v>
      </c>
      <c r="C15" s="21" t="s">
        <v>84</v>
      </c>
      <c r="D15" s="20">
        <v>0</v>
      </c>
      <c r="E15" s="22" t="s">
        <v>78</v>
      </c>
      <c r="F15" s="104"/>
      <c r="G15" s="105"/>
      <c r="H15" s="23">
        <v>1.8859999999999999</v>
      </c>
      <c r="I15" s="23">
        <v>5.5521000000000003</v>
      </c>
      <c r="J15" s="24">
        <f t="shared" si="0"/>
        <v>4.1243330328738077</v>
      </c>
      <c r="K15">
        <v>0.92800000000000005</v>
      </c>
      <c r="L15">
        <v>53</v>
      </c>
      <c r="M15" s="25">
        <f t="shared" si="1"/>
        <v>2855.6034482758619</v>
      </c>
      <c r="N15">
        <v>7.01</v>
      </c>
      <c r="O15">
        <v>4.2910000000000004</v>
      </c>
      <c r="P15">
        <v>98.415999999999997</v>
      </c>
      <c r="Q15" s="26">
        <f t="shared" si="2"/>
        <v>94.125</v>
      </c>
      <c r="R15">
        <v>9.5139999999999993</v>
      </c>
      <c r="S15" s="27">
        <f t="shared" si="3"/>
        <v>5.222999999999999</v>
      </c>
      <c r="T15" s="28">
        <f t="shared" si="4"/>
        <v>5.5490039840637442</v>
      </c>
      <c r="U15" s="29">
        <v>5.5309999999999997</v>
      </c>
      <c r="V15" s="31">
        <f t="shared" si="5"/>
        <v>76.258855064139397</v>
      </c>
      <c r="W15" s="106"/>
    </row>
    <row r="16" spans="1:23" x14ac:dyDescent="0.3">
      <c r="A16" s="20">
        <v>14</v>
      </c>
      <c r="B16" s="20" t="s">
        <v>102</v>
      </c>
      <c r="C16" s="21" t="s">
        <v>84</v>
      </c>
      <c r="D16" s="20">
        <v>0</v>
      </c>
      <c r="E16" s="22" t="s">
        <v>78</v>
      </c>
      <c r="F16" s="104"/>
      <c r="G16" s="105"/>
      <c r="H16" s="23">
        <v>2.0499999999999998</v>
      </c>
      <c r="I16" s="23">
        <v>5.9535999999999998</v>
      </c>
      <c r="J16" s="24">
        <f t="shared" si="0"/>
        <v>4.0687773658536583</v>
      </c>
      <c r="K16">
        <v>1.0429999999999999</v>
      </c>
      <c r="L16">
        <v>62</v>
      </c>
      <c r="M16" s="25">
        <f t="shared" si="1"/>
        <v>2972.1955896452541</v>
      </c>
      <c r="N16">
        <v>7.11</v>
      </c>
      <c r="O16">
        <v>4.2850000000000001</v>
      </c>
      <c r="P16">
        <v>101.414</v>
      </c>
      <c r="Q16" s="26">
        <f t="shared" si="2"/>
        <v>97.129000000000005</v>
      </c>
      <c r="R16">
        <v>10.173999999999999</v>
      </c>
      <c r="S16" s="27">
        <f t="shared" si="3"/>
        <v>5.8889999999999993</v>
      </c>
      <c r="T16" s="28">
        <f t="shared" si="4"/>
        <v>6.063070761564517</v>
      </c>
      <c r="U16" s="29">
        <v>5.5949999999999998</v>
      </c>
      <c r="V16" s="31">
        <f t="shared" si="5"/>
        <v>77.755136695534048</v>
      </c>
      <c r="W16" s="106"/>
    </row>
    <row r="17" spans="1:23" s="25" customFormat="1" x14ac:dyDescent="0.3">
      <c r="A17" s="97">
        <v>15</v>
      </c>
      <c r="B17" s="97" t="s">
        <v>103</v>
      </c>
      <c r="C17" s="98" t="s">
        <v>87</v>
      </c>
      <c r="D17" s="97">
        <v>30</v>
      </c>
      <c r="E17" s="97" t="s">
        <v>78</v>
      </c>
      <c r="F17" s="104"/>
      <c r="G17" s="105"/>
      <c r="H17" s="99">
        <v>1.885</v>
      </c>
      <c r="I17" s="99">
        <v>6.3902999999999999</v>
      </c>
      <c r="J17" s="24">
        <f t="shared" si="0"/>
        <v>4.7495014854111401</v>
      </c>
      <c r="K17" s="25">
        <v>1.0229999999999999</v>
      </c>
      <c r="L17" s="25">
        <v>81</v>
      </c>
      <c r="M17" s="25">
        <f t="shared" si="1"/>
        <v>3958.9442815249272</v>
      </c>
      <c r="N17" s="25">
        <v>7.6</v>
      </c>
      <c r="O17" s="25">
        <v>4.2690000000000001</v>
      </c>
      <c r="P17" s="25">
        <v>105.76</v>
      </c>
      <c r="Q17" s="101">
        <f t="shared" si="2"/>
        <v>101.491</v>
      </c>
      <c r="R17" s="25">
        <v>9.5609999999999999</v>
      </c>
      <c r="S17" s="102">
        <f t="shared" si="3"/>
        <v>5.2919999999999998</v>
      </c>
      <c r="T17" s="28">
        <f t="shared" si="4"/>
        <v>5.2142554512222761</v>
      </c>
      <c r="U17" s="102">
        <v>5.5970000000000004</v>
      </c>
      <c r="V17" s="103">
        <f t="shared" si="5"/>
        <v>74.905517762660608</v>
      </c>
      <c r="W17" s="106"/>
    </row>
    <row r="18" spans="1:23" s="25" customFormat="1" x14ac:dyDescent="0.3">
      <c r="A18" s="97">
        <v>16</v>
      </c>
      <c r="B18" s="97" t="s">
        <v>104</v>
      </c>
      <c r="C18" s="98" t="s">
        <v>89</v>
      </c>
      <c r="D18" s="97">
        <v>30</v>
      </c>
      <c r="E18" s="97" t="s">
        <v>78</v>
      </c>
      <c r="F18" s="104"/>
      <c r="G18" s="105"/>
      <c r="H18" s="99">
        <v>1.764</v>
      </c>
      <c r="I18" s="99">
        <v>5.9245999999999999</v>
      </c>
      <c r="J18" s="24">
        <f t="shared" si="0"/>
        <v>4.7054221088435373</v>
      </c>
      <c r="K18" s="25">
        <v>1.0760000000000001</v>
      </c>
      <c r="L18" s="25">
        <v>76</v>
      </c>
      <c r="M18" s="25">
        <f t="shared" si="1"/>
        <v>3531.5985130111521</v>
      </c>
      <c r="N18" s="25">
        <v>7.59</v>
      </c>
      <c r="O18" s="25">
        <v>4.282</v>
      </c>
      <c r="P18" s="25">
        <v>102.872</v>
      </c>
      <c r="Q18" s="101">
        <f t="shared" si="2"/>
        <v>98.59</v>
      </c>
      <c r="R18" s="25">
        <v>9.4719999999999995</v>
      </c>
      <c r="S18" s="102">
        <f t="shared" si="3"/>
        <v>5.1899999999999995</v>
      </c>
      <c r="T18" s="28">
        <f t="shared" si="4"/>
        <v>5.2642255806876959</v>
      </c>
      <c r="U18" s="102">
        <v>5.5590000000000002</v>
      </c>
      <c r="V18" s="103">
        <f t="shared" si="5"/>
        <v>75.394990366088635</v>
      </c>
      <c r="W18" s="106"/>
    </row>
    <row r="19" spans="1:23" s="25" customFormat="1" x14ac:dyDescent="0.3">
      <c r="A19" s="97">
        <v>17</v>
      </c>
      <c r="B19" s="97" t="s">
        <v>105</v>
      </c>
      <c r="C19" s="98" t="s">
        <v>91</v>
      </c>
      <c r="D19" s="97">
        <v>90</v>
      </c>
      <c r="E19" s="97" t="s">
        <v>78</v>
      </c>
      <c r="F19" s="104"/>
      <c r="G19" s="105"/>
      <c r="H19" s="99">
        <v>2.0990000000000002</v>
      </c>
      <c r="I19" s="99">
        <v>7.4553000000000003</v>
      </c>
      <c r="J19" s="24">
        <f t="shared" si="0"/>
        <v>4.9761197236779422</v>
      </c>
      <c r="K19" s="25">
        <v>0.97499999999999998</v>
      </c>
      <c r="L19" s="25">
        <v>69</v>
      </c>
      <c r="M19" s="25">
        <f t="shared" si="1"/>
        <v>3538.4615384615386</v>
      </c>
      <c r="N19" s="25">
        <v>7.68</v>
      </c>
      <c r="O19" s="25">
        <v>4.2869999999999999</v>
      </c>
      <c r="P19" s="25">
        <v>106.15300000000001</v>
      </c>
      <c r="Q19" s="101">
        <f t="shared" si="2"/>
        <v>101.866</v>
      </c>
      <c r="R19" s="25">
        <v>9.2289999999999992</v>
      </c>
      <c r="S19" s="102">
        <f t="shared" si="3"/>
        <v>4.9419999999999993</v>
      </c>
      <c r="T19" s="28">
        <f t="shared" si="4"/>
        <v>4.8514715410441163</v>
      </c>
      <c r="U19" s="102">
        <v>5.6429999999999998</v>
      </c>
      <c r="V19" s="103">
        <f t="shared" si="5"/>
        <v>72.561715904492104</v>
      </c>
      <c r="W19" s="106"/>
    </row>
    <row r="20" spans="1:23" s="25" customFormat="1" x14ac:dyDescent="0.3">
      <c r="A20" s="97">
        <v>18</v>
      </c>
      <c r="B20" s="97" t="s">
        <v>106</v>
      </c>
      <c r="C20" s="98" t="s">
        <v>93</v>
      </c>
      <c r="D20" s="97">
        <v>90</v>
      </c>
      <c r="E20" s="97" t="s">
        <v>78</v>
      </c>
      <c r="F20" s="104"/>
      <c r="G20" s="105"/>
      <c r="H20" s="99">
        <v>2.246</v>
      </c>
      <c r="I20" s="99">
        <v>7.6581000000000001</v>
      </c>
      <c r="J20" s="24">
        <f t="shared" si="0"/>
        <v>4.7769359305431882</v>
      </c>
      <c r="K20" s="25">
        <v>0.92700000000000005</v>
      </c>
      <c r="L20" s="25">
        <v>84</v>
      </c>
      <c r="M20" s="25">
        <f t="shared" si="1"/>
        <v>4530.744336569579</v>
      </c>
      <c r="N20" s="25">
        <v>8.0299999999999994</v>
      </c>
      <c r="O20" s="25">
        <v>4.2960000000000003</v>
      </c>
      <c r="P20" s="25">
        <v>100.203</v>
      </c>
      <c r="Q20" s="101">
        <f t="shared" si="2"/>
        <v>95.906999999999996</v>
      </c>
      <c r="R20" s="25">
        <v>8.7859999999999996</v>
      </c>
      <c r="S20" s="102">
        <f t="shared" si="3"/>
        <v>4.4899999999999993</v>
      </c>
      <c r="T20" s="28">
        <f t="shared" si="4"/>
        <v>4.6816186514018785</v>
      </c>
      <c r="U20" s="102">
        <v>5.5839999999999996</v>
      </c>
      <c r="V20" s="103">
        <f t="shared" si="5"/>
        <v>71.314031180400903</v>
      </c>
      <c r="W20" s="106"/>
    </row>
    <row r="21" spans="1:23" x14ac:dyDescent="0.3">
      <c r="A21" s="20">
        <v>19</v>
      </c>
      <c r="B21" s="20" t="s">
        <v>107</v>
      </c>
      <c r="C21" s="21" t="s">
        <v>95</v>
      </c>
      <c r="D21" s="20">
        <v>90</v>
      </c>
      <c r="E21" s="22" t="s">
        <v>78</v>
      </c>
      <c r="F21" s="104"/>
      <c r="G21" s="105"/>
      <c r="H21" s="23">
        <v>1.5860000000000001</v>
      </c>
      <c r="I21" s="23">
        <v>4.5548999999999999</v>
      </c>
      <c r="J21" s="24">
        <f t="shared" si="0"/>
        <v>4.0235907313997474</v>
      </c>
      <c r="K21">
        <v>0.94799999999999995</v>
      </c>
      <c r="L21">
        <v>63</v>
      </c>
      <c r="M21" s="25">
        <f t="shared" si="1"/>
        <v>3322.7848101265822</v>
      </c>
      <c r="N21">
        <v>7.74</v>
      </c>
      <c r="O21">
        <v>4.3010000000000002</v>
      </c>
      <c r="P21">
        <v>87.867000000000004</v>
      </c>
      <c r="Q21" s="26">
        <f t="shared" si="2"/>
        <v>83.566000000000003</v>
      </c>
      <c r="R21">
        <v>8.1029999999999998</v>
      </c>
      <c r="S21" s="27">
        <f t="shared" si="3"/>
        <v>3.8019999999999996</v>
      </c>
      <c r="T21" s="28">
        <f t="shared" si="4"/>
        <v>4.5496972452911466</v>
      </c>
      <c r="U21" s="29">
        <v>5.3639999999999999</v>
      </c>
      <c r="V21" s="31">
        <f t="shared" si="5"/>
        <v>72.041031036296687</v>
      </c>
      <c r="W21" s="106"/>
    </row>
    <row r="22" spans="1:23" x14ac:dyDescent="0.3">
      <c r="A22" s="20">
        <v>20</v>
      </c>
      <c r="B22" s="20" t="s">
        <v>108</v>
      </c>
      <c r="C22" s="21" t="s">
        <v>97</v>
      </c>
      <c r="D22" s="20">
        <v>90</v>
      </c>
      <c r="E22" s="22" t="s">
        <v>78</v>
      </c>
      <c r="F22" s="104"/>
      <c r="G22" s="105"/>
      <c r="H22" s="23">
        <v>1.619</v>
      </c>
      <c r="I22" s="23">
        <v>4.6542000000000003</v>
      </c>
      <c r="J22" s="24">
        <f t="shared" si="0"/>
        <v>4.027507226683138</v>
      </c>
      <c r="K22">
        <v>0.95799999999999996</v>
      </c>
      <c r="L22">
        <v>59</v>
      </c>
      <c r="M22" s="25">
        <f t="shared" si="1"/>
        <v>3079.3319415448855</v>
      </c>
      <c r="N22">
        <v>7.1</v>
      </c>
      <c r="O22">
        <v>4.2910000000000004</v>
      </c>
      <c r="P22">
        <v>96.718999999999994</v>
      </c>
      <c r="Q22" s="26">
        <f t="shared" si="2"/>
        <v>92.427999999999997</v>
      </c>
      <c r="R22">
        <v>9.4540000000000006</v>
      </c>
      <c r="S22" s="27">
        <f t="shared" si="3"/>
        <v>5.1630000000000003</v>
      </c>
      <c r="T22" s="28">
        <f t="shared" si="4"/>
        <v>5.5859696195957937</v>
      </c>
      <c r="U22" s="29">
        <v>5.5</v>
      </c>
      <c r="V22" s="31">
        <f t="shared" si="5"/>
        <v>76.583381754793734</v>
      </c>
      <c r="W22" s="106"/>
    </row>
  </sheetData>
  <mergeCells count="6">
    <mergeCell ref="F3:F12"/>
    <mergeCell ref="G3:G12"/>
    <mergeCell ref="F13:F22"/>
    <mergeCell ref="G13:G22"/>
    <mergeCell ref="W3:W12"/>
    <mergeCell ref="W13:W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opLeftCell="C1" zoomScale="115" zoomScaleNormal="115" workbookViewId="0">
      <selection activeCell="U11" sqref="U11:X30"/>
    </sheetView>
  </sheetViews>
  <sheetFormatPr defaultRowHeight="14.4" x14ac:dyDescent="0.3"/>
  <cols>
    <col min="2" max="2" width="15.44140625" customWidth="1"/>
    <col min="3" max="3" width="18.5546875" customWidth="1"/>
    <col min="5" max="5" width="23.6640625" customWidth="1"/>
  </cols>
  <sheetData>
    <row r="1" spans="1:24" x14ac:dyDescent="0.3">
      <c r="F1" t="s">
        <v>0</v>
      </c>
    </row>
    <row r="3" spans="1:24" x14ac:dyDescent="0.3">
      <c r="F3" t="s">
        <v>1</v>
      </c>
    </row>
    <row r="5" spans="1:24" x14ac:dyDescent="0.3">
      <c r="F5" t="s">
        <v>2</v>
      </c>
    </row>
    <row r="7" spans="1:24" x14ac:dyDescent="0.3">
      <c r="E7" t="s">
        <v>3</v>
      </c>
      <c r="H7" t="s">
        <v>4</v>
      </c>
      <c r="I7" t="s">
        <v>5</v>
      </c>
      <c r="J7" t="s">
        <v>6</v>
      </c>
      <c r="K7" t="s">
        <v>7</v>
      </c>
      <c r="L7" t="s">
        <v>8</v>
      </c>
      <c r="M7" t="s">
        <v>9</v>
      </c>
      <c r="N7" t="s">
        <v>10</v>
      </c>
      <c r="O7" t="s">
        <v>11</v>
      </c>
      <c r="P7" t="s">
        <v>12</v>
      </c>
      <c r="Q7" t="s">
        <v>13</v>
      </c>
    </row>
    <row r="8" spans="1:24" x14ac:dyDescent="0.3"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  <c r="N8" t="s">
        <v>14</v>
      </c>
      <c r="O8" t="s">
        <v>14</v>
      </c>
      <c r="P8" t="s">
        <v>14</v>
      </c>
      <c r="Q8" t="s">
        <v>14</v>
      </c>
    </row>
    <row r="11" spans="1:24" x14ac:dyDescent="0.3">
      <c r="A11" s="107" t="s">
        <v>109</v>
      </c>
      <c r="B11" s="20" t="s">
        <v>76</v>
      </c>
      <c r="C11" s="21" t="s">
        <v>77</v>
      </c>
      <c r="D11" s="20">
        <v>0</v>
      </c>
      <c r="E11" t="s">
        <v>16</v>
      </c>
      <c r="F11" t="s">
        <v>17</v>
      </c>
      <c r="G11" t="s">
        <v>15</v>
      </c>
      <c r="H11">
        <v>4329.8719000000001</v>
      </c>
      <c r="I11">
        <v>1364.5735</v>
      </c>
      <c r="J11">
        <v>258.58390000000003</v>
      </c>
      <c r="K11">
        <v>1</v>
      </c>
      <c r="L11">
        <v>985.58939999999996</v>
      </c>
      <c r="M11">
        <v>395.90660000000003</v>
      </c>
      <c r="N11">
        <v>166.5264</v>
      </c>
      <c r="O11">
        <v>27.245699999999999</v>
      </c>
      <c r="P11">
        <v>102.9568</v>
      </c>
      <c r="Q11">
        <v>42.892400000000002</v>
      </c>
      <c r="S11" s="25">
        <f t="shared" ref="S9:S30" si="0">SUM(H11:Q11)/1000</f>
        <v>7.6751465999999997</v>
      </c>
      <c r="U11">
        <v>7.3253436000000001</v>
      </c>
      <c r="V11">
        <f>H11/1000</f>
        <v>4.3298718999999997</v>
      </c>
      <c r="W11">
        <f t="shared" ref="W11:X12" si="1">I11/1000</f>
        <v>1.3645734999999999</v>
      </c>
      <c r="X11">
        <f t="shared" si="1"/>
        <v>0.25858390000000003</v>
      </c>
    </row>
    <row r="12" spans="1:24" x14ac:dyDescent="0.3">
      <c r="A12" s="107"/>
      <c r="B12" s="20" t="s">
        <v>81</v>
      </c>
      <c r="C12" s="21" t="s">
        <v>82</v>
      </c>
      <c r="D12" s="20">
        <v>0</v>
      </c>
      <c r="E12" t="s">
        <v>18</v>
      </c>
      <c r="F12" t="s">
        <v>19</v>
      </c>
      <c r="G12" t="s">
        <v>15</v>
      </c>
      <c r="H12">
        <v>2812.3110999999999</v>
      </c>
      <c r="I12">
        <v>1279.7545</v>
      </c>
      <c r="J12">
        <v>238.07259999999999</v>
      </c>
      <c r="K12">
        <v>1</v>
      </c>
      <c r="L12">
        <v>889.68979999999999</v>
      </c>
      <c r="M12">
        <v>324.04379999999998</v>
      </c>
      <c r="N12">
        <v>165.7757</v>
      </c>
      <c r="O12">
        <v>37.244599999999998</v>
      </c>
      <c r="P12">
        <v>103.7377</v>
      </c>
      <c r="Q12">
        <v>44.144100000000002</v>
      </c>
      <c r="S12" s="25">
        <f t="shared" si="0"/>
        <v>5.8957739000000009</v>
      </c>
      <c r="U12">
        <v>5.5459709000000013</v>
      </c>
      <c r="V12">
        <f>H12/1000</f>
        <v>2.8123111000000001</v>
      </c>
      <c r="W12">
        <f t="shared" si="1"/>
        <v>1.2797544999999999</v>
      </c>
      <c r="X12">
        <f t="shared" si="1"/>
        <v>0.2380726</v>
      </c>
    </row>
    <row r="13" spans="1:24" x14ac:dyDescent="0.3">
      <c r="A13" s="107"/>
      <c r="B13" s="20" t="s">
        <v>83</v>
      </c>
      <c r="C13" s="21" t="s">
        <v>84</v>
      </c>
      <c r="D13" s="20">
        <v>0</v>
      </c>
      <c r="E13" t="s">
        <v>20</v>
      </c>
      <c r="F13" t="s">
        <v>21</v>
      </c>
      <c r="G13" t="s">
        <v>15</v>
      </c>
      <c r="H13">
        <v>9021.0817999999999</v>
      </c>
      <c r="I13">
        <v>3568.0771</v>
      </c>
      <c r="J13">
        <v>807.02229999999997</v>
      </c>
      <c r="K13">
        <v>1</v>
      </c>
      <c r="L13">
        <v>1955.0181</v>
      </c>
      <c r="M13">
        <v>1000.0444</v>
      </c>
      <c r="N13">
        <v>379.1739</v>
      </c>
      <c r="O13">
        <v>71.757400000000004</v>
      </c>
      <c r="P13">
        <v>461.34660000000002</v>
      </c>
      <c r="Q13">
        <v>524.71199999999999</v>
      </c>
      <c r="S13" s="25">
        <f t="shared" si="0"/>
        <v>17.789233599999999</v>
      </c>
      <c r="U13">
        <v>17.439430599999998</v>
      </c>
      <c r="V13">
        <f t="shared" ref="V13:V30" si="2">H13/1000</f>
        <v>9.0210817999999993</v>
      </c>
      <c r="W13">
        <f t="shared" ref="W13:W30" si="3">I13/1000</f>
        <v>3.5680771</v>
      </c>
      <c r="X13">
        <f t="shared" ref="X13:X30" si="4">J13/1000</f>
        <v>0.80702229999999997</v>
      </c>
    </row>
    <row r="14" spans="1:24" x14ac:dyDescent="0.3">
      <c r="A14" s="107"/>
      <c r="B14" s="20" t="s">
        <v>85</v>
      </c>
      <c r="C14" s="21" t="s">
        <v>84</v>
      </c>
      <c r="D14" s="20">
        <v>0</v>
      </c>
      <c r="E14" t="s">
        <v>22</v>
      </c>
      <c r="F14" t="s">
        <v>23</v>
      </c>
      <c r="G14" t="s">
        <v>15</v>
      </c>
      <c r="H14">
        <v>8521.6669999999995</v>
      </c>
      <c r="I14">
        <v>3463.3625000000002</v>
      </c>
      <c r="J14">
        <v>781.33569999999997</v>
      </c>
      <c r="K14">
        <v>1</v>
      </c>
      <c r="L14">
        <v>1866.2035000000001</v>
      </c>
      <c r="M14">
        <v>961.94320000000005</v>
      </c>
      <c r="N14">
        <v>372.1574</v>
      </c>
      <c r="O14">
        <v>66.677099999999996</v>
      </c>
      <c r="P14">
        <v>474.48110000000003</v>
      </c>
      <c r="Q14">
        <v>402.32139999999998</v>
      </c>
      <c r="S14" s="25">
        <f t="shared" si="0"/>
        <v>16.911148900000001</v>
      </c>
      <c r="U14">
        <v>16.561345899999999</v>
      </c>
      <c r="V14">
        <f t="shared" si="2"/>
        <v>8.521666999999999</v>
      </c>
      <c r="W14">
        <f t="shared" si="3"/>
        <v>3.4633625000000001</v>
      </c>
      <c r="X14">
        <f t="shared" si="4"/>
        <v>0.78133569999999997</v>
      </c>
    </row>
    <row r="15" spans="1:24" x14ac:dyDescent="0.3">
      <c r="A15" s="107"/>
      <c r="B15" s="20" t="s">
        <v>86</v>
      </c>
      <c r="C15" s="21" t="s">
        <v>87</v>
      </c>
      <c r="D15" s="20">
        <v>30</v>
      </c>
      <c r="E15" t="s">
        <v>24</v>
      </c>
      <c r="F15" t="s">
        <v>25</v>
      </c>
      <c r="G15" t="s">
        <v>15</v>
      </c>
      <c r="H15">
        <v>7293.0218999999997</v>
      </c>
      <c r="I15">
        <v>2412.1554999999998</v>
      </c>
      <c r="J15">
        <v>433.18729999999999</v>
      </c>
      <c r="K15">
        <v>1</v>
      </c>
      <c r="L15">
        <v>457.76710000000003</v>
      </c>
      <c r="M15">
        <v>626.94140000000004</v>
      </c>
      <c r="N15">
        <v>171.9273</v>
      </c>
      <c r="O15">
        <v>28.842600000000001</v>
      </c>
      <c r="P15">
        <v>44.921799999999998</v>
      </c>
      <c r="Q15">
        <v>269.8381</v>
      </c>
      <c r="S15" s="25">
        <f t="shared" si="0"/>
        <v>11.739602999999999</v>
      </c>
      <c r="U15">
        <v>11.389799999999999</v>
      </c>
      <c r="V15">
        <f t="shared" si="2"/>
        <v>7.2930218999999994</v>
      </c>
      <c r="W15">
        <f t="shared" si="3"/>
        <v>2.4121554999999999</v>
      </c>
      <c r="X15">
        <f t="shared" si="4"/>
        <v>0.4331873</v>
      </c>
    </row>
    <row r="16" spans="1:24" x14ac:dyDescent="0.3">
      <c r="A16" s="107"/>
      <c r="B16" s="20" t="s">
        <v>88</v>
      </c>
      <c r="C16" s="21" t="s">
        <v>89</v>
      </c>
      <c r="D16" s="20">
        <v>30</v>
      </c>
      <c r="E16" t="s">
        <v>26</v>
      </c>
      <c r="F16" t="s">
        <v>27</v>
      </c>
      <c r="G16" t="s">
        <v>15</v>
      </c>
      <c r="H16">
        <v>5885.1007</v>
      </c>
      <c r="I16">
        <v>1813.5577000000001</v>
      </c>
      <c r="J16">
        <v>305.57960000000003</v>
      </c>
      <c r="K16">
        <v>1</v>
      </c>
      <c r="L16">
        <v>130.23560000000001</v>
      </c>
      <c r="M16">
        <v>358.9751</v>
      </c>
      <c r="N16">
        <v>90.287000000000006</v>
      </c>
      <c r="O16">
        <v>23.648599999999998</v>
      </c>
      <c r="P16">
        <v>60.716999999999999</v>
      </c>
      <c r="Q16">
        <v>69.427199999999999</v>
      </c>
      <c r="S16" s="25">
        <f t="shared" si="0"/>
        <v>8.7385285000000028</v>
      </c>
      <c r="U16">
        <v>8.4964695000000034</v>
      </c>
      <c r="V16">
        <f t="shared" si="2"/>
        <v>5.8851006999999997</v>
      </c>
      <c r="W16">
        <f t="shared" si="3"/>
        <v>1.8135577000000001</v>
      </c>
      <c r="X16">
        <f t="shared" si="4"/>
        <v>0.30557960000000001</v>
      </c>
    </row>
    <row r="17" spans="1:24" x14ac:dyDescent="0.3">
      <c r="A17" s="107"/>
      <c r="B17" s="20" t="s">
        <v>90</v>
      </c>
      <c r="C17" s="21" t="s">
        <v>91</v>
      </c>
      <c r="D17" s="20">
        <v>90</v>
      </c>
      <c r="E17" t="s">
        <v>28</v>
      </c>
      <c r="F17" t="s">
        <v>29</v>
      </c>
      <c r="G17" t="s">
        <v>15</v>
      </c>
      <c r="H17">
        <v>1517.1892</v>
      </c>
      <c r="I17">
        <v>2265.6954999999998</v>
      </c>
      <c r="J17">
        <v>514.97820000000002</v>
      </c>
      <c r="K17">
        <v>1</v>
      </c>
      <c r="L17">
        <v>53.262900000000002</v>
      </c>
      <c r="M17">
        <v>587.54759999999999</v>
      </c>
      <c r="N17">
        <v>65.4358</v>
      </c>
      <c r="O17">
        <v>25.0763</v>
      </c>
      <c r="P17">
        <v>55.792999999999999</v>
      </c>
      <c r="Q17">
        <v>163.37010000000001</v>
      </c>
      <c r="S17" s="25">
        <f t="shared" si="0"/>
        <v>5.2493485999999994</v>
      </c>
      <c r="U17">
        <v>5.0072895999999991</v>
      </c>
      <c r="V17">
        <f t="shared" si="2"/>
        <v>1.5171892</v>
      </c>
      <c r="W17">
        <f t="shared" si="3"/>
        <v>2.2656954999999996</v>
      </c>
      <c r="X17">
        <f t="shared" si="4"/>
        <v>0.51497820000000005</v>
      </c>
    </row>
    <row r="18" spans="1:24" x14ac:dyDescent="0.3">
      <c r="A18" s="107"/>
      <c r="B18" s="20" t="s">
        <v>92</v>
      </c>
      <c r="C18" s="21" t="s">
        <v>93</v>
      </c>
      <c r="D18" s="20">
        <v>90</v>
      </c>
      <c r="E18" t="s">
        <v>30</v>
      </c>
      <c r="F18" t="s">
        <v>31</v>
      </c>
      <c r="G18" t="s">
        <v>15</v>
      </c>
      <c r="H18">
        <v>1290.4246000000001</v>
      </c>
      <c r="I18">
        <v>289.85059999999999</v>
      </c>
      <c r="J18">
        <v>100.05</v>
      </c>
      <c r="K18">
        <v>1</v>
      </c>
      <c r="L18">
        <v>52.376100000000001</v>
      </c>
      <c r="M18">
        <v>141.91030000000001</v>
      </c>
      <c r="O18">
        <v>61.013599999999997</v>
      </c>
      <c r="Q18">
        <v>112.87990000000001</v>
      </c>
      <c r="S18" s="25">
        <f t="shared" si="0"/>
        <v>2.0495050999999997</v>
      </c>
      <c r="U18">
        <v>1.8074460999999997</v>
      </c>
      <c r="V18">
        <f t="shared" si="2"/>
        <v>1.2904246000000001</v>
      </c>
      <c r="W18">
        <f t="shared" si="3"/>
        <v>0.28985059999999996</v>
      </c>
      <c r="X18">
        <f t="shared" si="4"/>
        <v>0.10005</v>
      </c>
    </row>
    <row r="19" spans="1:24" x14ac:dyDescent="0.3">
      <c r="A19" s="107"/>
      <c r="B19" s="20" t="s">
        <v>94</v>
      </c>
      <c r="C19" s="21" t="s">
        <v>95</v>
      </c>
      <c r="D19" s="20">
        <v>90</v>
      </c>
      <c r="E19" t="s">
        <v>32</v>
      </c>
      <c r="F19" t="s">
        <v>33</v>
      </c>
      <c r="G19" t="s">
        <v>15</v>
      </c>
      <c r="H19">
        <v>1186.4869000000001</v>
      </c>
      <c r="I19">
        <v>1060.3838000000001</v>
      </c>
      <c r="K19">
        <v>1</v>
      </c>
      <c r="L19">
        <v>32.968200000000003</v>
      </c>
      <c r="M19">
        <v>444.66289999999998</v>
      </c>
      <c r="N19">
        <v>75.054000000000002</v>
      </c>
      <c r="O19">
        <v>41.578499999999998</v>
      </c>
      <c r="Q19">
        <v>41.225999999999999</v>
      </c>
      <c r="S19" s="25">
        <f t="shared" si="0"/>
        <v>2.8833603000000001</v>
      </c>
      <c r="U19">
        <v>2.6413013000000003</v>
      </c>
      <c r="V19">
        <f t="shared" si="2"/>
        <v>1.1864869</v>
      </c>
      <c r="W19">
        <f t="shared" si="3"/>
        <v>1.0603838000000001</v>
      </c>
      <c r="X19">
        <f t="shared" si="4"/>
        <v>0</v>
      </c>
    </row>
    <row r="20" spans="1:24" x14ac:dyDescent="0.3">
      <c r="A20" s="107"/>
      <c r="B20" s="20" t="s">
        <v>96</v>
      </c>
      <c r="C20" s="21" t="s">
        <v>97</v>
      </c>
      <c r="D20" s="20">
        <v>90</v>
      </c>
      <c r="E20" t="s">
        <v>34</v>
      </c>
      <c r="F20" t="s">
        <v>35</v>
      </c>
      <c r="G20" t="s">
        <v>15</v>
      </c>
      <c r="H20">
        <v>1156.6550999999999</v>
      </c>
      <c r="I20">
        <v>5982.0230000000001</v>
      </c>
      <c r="J20">
        <v>786.81389999999999</v>
      </c>
      <c r="K20">
        <v>1</v>
      </c>
      <c r="M20">
        <v>1102.9340999999999</v>
      </c>
      <c r="N20">
        <v>81.594300000000004</v>
      </c>
      <c r="O20">
        <v>71.688299999999998</v>
      </c>
      <c r="P20">
        <v>49.956600000000002</v>
      </c>
      <c r="Q20">
        <v>158.51329999999999</v>
      </c>
      <c r="S20" s="25">
        <f t="shared" si="0"/>
        <v>9.3911786000000017</v>
      </c>
      <c r="U20">
        <v>9.1491196000000024</v>
      </c>
      <c r="V20">
        <f t="shared" si="2"/>
        <v>1.1566551</v>
      </c>
      <c r="W20">
        <f t="shared" si="3"/>
        <v>5.9820229999999999</v>
      </c>
      <c r="X20">
        <f t="shared" si="4"/>
        <v>0.78681389999999995</v>
      </c>
    </row>
    <row r="21" spans="1:24" x14ac:dyDescent="0.3">
      <c r="A21" s="107" t="s">
        <v>110</v>
      </c>
      <c r="B21" s="20" t="s">
        <v>98</v>
      </c>
      <c r="C21" s="21" t="s">
        <v>77</v>
      </c>
      <c r="D21" s="20">
        <v>0</v>
      </c>
      <c r="E21" t="s">
        <v>36</v>
      </c>
      <c r="F21" t="s">
        <v>37</v>
      </c>
      <c r="G21" t="s">
        <v>15</v>
      </c>
      <c r="H21">
        <v>4433.4476000000004</v>
      </c>
      <c r="I21">
        <v>1330.8895</v>
      </c>
      <c r="J21">
        <v>279.88900000000001</v>
      </c>
      <c r="K21">
        <v>1</v>
      </c>
      <c r="L21">
        <v>1653.0862999999999</v>
      </c>
      <c r="M21">
        <v>415.19069999999999</v>
      </c>
      <c r="N21">
        <v>225.172</v>
      </c>
      <c r="O21">
        <v>99.419200000000004</v>
      </c>
      <c r="P21">
        <v>72.731700000000004</v>
      </c>
      <c r="Q21">
        <v>46.863799999999998</v>
      </c>
      <c r="S21" s="25">
        <f t="shared" si="0"/>
        <v>8.5576898000000003</v>
      </c>
      <c r="U21">
        <v>7.8243480000000005</v>
      </c>
      <c r="V21">
        <f t="shared" si="2"/>
        <v>4.4334476</v>
      </c>
      <c r="W21">
        <f t="shared" si="3"/>
        <v>1.3308895000000001</v>
      </c>
      <c r="X21">
        <f t="shared" si="4"/>
        <v>0.279889</v>
      </c>
    </row>
    <row r="22" spans="1:24" x14ac:dyDescent="0.3">
      <c r="A22" s="107"/>
      <c r="B22" s="20" t="s">
        <v>100</v>
      </c>
      <c r="C22" s="21" t="s">
        <v>82</v>
      </c>
      <c r="D22" s="20">
        <v>0</v>
      </c>
      <c r="E22" t="s">
        <v>38</v>
      </c>
      <c r="F22" t="s">
        <v>39</v>
      </c>
      <c r="G22" t="s">
        <v>15</v>
      </c>
      <c r="H22">
        <v>4384.4021000000002</v>
      </c>
      <c r="I22">
        <v>1311.0832</v>
      </c>
      <c r="J22">
        <v>268.9246</v>
      </c>
      <c r="K22">
        <v>1</v>
      </c>
      <c r="L22">
        <v>1622.9250999999999</v>
      </c>
      <c r="M22">
        <v>408.48270000000002</v>
      </c>
      <c r="N22">
        <v>225.1088</v>
      </c>
      <c r="O22">
        <v>64.302999999999997</v>
      </c>
      <c r="P22">
        <v>74.042699999999996</v>
      </c>
      <c r="Q22">
        <v>119.9114</v>
      </c>
      <c r="S22" s="25">
        <f t="shared" si="0"/>
        <v>8.4801836000000019</v>
      </c>
      <c r="U22">
        <v>7.7468418000000021</v>
      </c>
      <c r="V22">
        <f t="shared" si="2"/>
        <v>4.3844021</v>
      </c>
      <c r="W22">
        <f t="shared" si="3"/>
        <v>1.3110832000000001</v>
      </c>
      <c r="X22">
        <f t="shared" si="4"/>
        <v>0.26892460000000001</v>
      </c>
    </row>
    <row r="23" spans="1:24" x14ac:dyDescent="0.3">
      <c r="A23" s="107"/>
      <c r="B23" s="20" t="s">
        <v>101</v>
      </c>
      <c r="C23" s="21" t="s">
        <v>84</v>
      </c>
      <c r="D23" s="20">
        <v>0</v>
      </c>
      <c r="E23" t="s">
        <v>40</v>
      </c>
      <c r="F23" t="s">
        <v>41</v>
      </c>
      <c r="G23" t="s">
        <v>15</v>
      </c>
      <c r="H23">
        <v>6444.7573000000002</v>
      </c>
      <c r="I23">
        <v>2712.9836</v>
      </c>
      <c r="J23">
        <v>580.56140000000005</v>
      </c>
      <c r="K23">
        <v>1</v>
      </c>
      <c r="L23">
        <v>3004.0965000000001</v>
      </c>
      <c r="M23">
        <v>652.68349999999998</v>
      </c>
      <c r="N23">
        <v>505.33420000000001</v>
      </c>
      <c r="O23">
        <v>132.43530000000001</v>
      </c>
      <c r="P23">
        <v>232.99039999999999</v>
      </c>
      <c r="Q23">
        <v>253.78380000000001</v>
      </c>
      <c r="S23" s="25">
        <f t="shared" si="0"/>
        <v>14.520625999999998</v>
      </c>
      <c r="U23">
        <v>13.787284199999998</v>
      </c>
      <c r="V23">
        <f t="shared" si="2"/>
        <v>6.4447573</v>
      </c>
      <c r="W23">
        <f t="shared" si="3"/>
        <v>2.7129835999999998</v>
      </c>
      <c r="X23">
        <f t="shared" si="4"/>
        <v>0.58056140000000001</v>
      </c>
    </row>
    <row r="24" spans="1:24" x14ac:dyDescent="0.3">
      <c r="A24" s="107"/>
      <c r="B24" s="20" t="s">
        <v>102</v>
      </c>
      <c r="C24" s="21" t="s">
        <v>84</v>
      </c>
      <c r="D24" s="20">
        <v>0</v>
      </c>
      <c r="E24" t="s">
        <v>42</v>
      </c>
      <c r="F24" t="s">
        <v>43</v>
      </c>
      <c r="G24" t="s">
        <v>15</v>
      </c>
      <c r="H24">
        <v>6292.9710999999998</v>
      </c>
      <c r="I24">
        <v>2677.0264000000002</v>
      </c>
      <c r="J24">
        <v>567.84059999999999</v>
      </c>
      <c r="K24">
        <v>1</v>
      </c>
      <c r="L24">
        <v>2945.0418</v>
      </c>
      <c r="M24">
        <v>645.82439999999997</v>
      </c>
      <c r="N24">
        <v>503.96960000000001</v>
      </c>
      <c r="O24">
        <v>135.50460000000001</v>
      </c>
      <c r="P24">
        <v>234.88470000000001</v>
      </c>
      <c r="Q24">
        <v>646.64869999999996</v>
      </c>
      <c r="S24" s="25">
        <f t="shared" si="0"/>
        <v>14.650711900000001</v>
      </c>
      <c r="U24">
        <v>13.917370100000001</v>
      </c>
      <c r="V24">
        <f t="shared" si="2"/>
        <v>6.2929710999999999</v>
      </c>
      <c r="W24">
        <f t="shared" si="3"/>
        <v>2.6770264000000004</v>
      </c>
      <c r="X24">
        <f t="shared" si="4"/>
        <v>0.56784060000000003</v>
      </c>
    </row>
    <row r="25" spans="1:24" x14ac:dyDescent="0.3">
      <c r="A25" s="107"/>
      <c r="B25" s="20" t="s">
        <v>103</v>
      </c>
      <c r="C25" s="21" t="s">
        <v>87</v>
      </c>
      <c r="D25" s="20">
        <v>30</v>
      </c>
      <c r="E25" t="s">
        <v>44</v>
      </c>
      <c r="F25" t="s">
        <v>45</v>
      </c>
      <c r="G25" t="s">
        <v>15</v>
      </c>
      <c r="H25">
        <v>3796.6587</v>
      </c>
      <c r="I25">
        <v>1134.1470999999999</v>
      </c>
      <c r="J25">
        <v>411.67790000000002</v>
      </c>
      <c r="K25">
        <v>1</v>
      </c>
      <c r="L25">
        <v>327.28320000000002</v>
      </c>
      <c r="M25">
        <v>425.18470000000002</v>
      </c>
      <c r="N25">
        <v>87.874600000000001</v>
      </c>
      <c r="O25">
        <v>30.2225</v>
      </c>
      <c r="P25">
        <v>22.666799999999999</v>
      </c>
      <c r="Q25">
        <v>116.8109</v>
      </c>
      <c r="S25" s="25">
        <f t="shared" si="0"/>
        <v>6.3535263999999998</v>
      </c>
      <c r="U25">
        <v>5.6201846</v>
      </c>
      <c r="V25">
        <f t="shared" si="2"/>
        <v>3.7966587000000001</v>
      </c>
      <c r="W25">
        <f t="shared" si="3"/>
        <v>1.1341470999999999</v>
      </c>
      <c r="X25">
        <f t="shared" si="4"/>
        <v>0.41167790000000004</v>
      </c>
    </row>
    <row r="26" spans="1:24" x14ac:dyDescent="0.3">
      <c r="A26" s="107"/>
      <c r="B26" s="20" t="s">
        <v>104</v>
      </c>
      <c r="C26" s="21" t="s">
        <v>89</v>
      </c>
      <c r="D26" s="20">
        <v>30</v>
      </c>
      <c r="E26" t="s">
        <v>46</v>
      </c>
      <c r="F26" t="s">
        <v>47</v>
      </c>
      <c r="G26" t="s">
        <v>15</v>
      </c>
      <c r="H26">
        <v>6918.7933999999996</v>
      </c>
      <c r="I26">
        <v>2489.0702000000001</v>
      </c>
      <c r="J26">
        <v>562.10829999999999</v>
      </c>
      <c r="K26">
        <v>1</v>
      </c>
      <c r="L26">
        <v>966.80849999999998</v>
      </c>
      <c r="M26">
        <v>619.60580000000004</v>
      </c>
      <c r="N26">
        <v>230.7388</v>
      </c>
      <c r="O26">
        <v>38.070399999999999</v>
      </c>
      <c r="P26">
        <v>90.929100000000005</v>
      </c>
      <c r="Q26">
        <v>74.026499999999999</v>
      </c>
      <c r="S26" s="25">
        <f t="shared" si="0"/>
        <v>11.991150999999999</v>
      </c>
      <c r="U26">
        <v>11.938849999999999</v>
      </c>
      <c r="V26">
        <f t="shared" si="2"/>
        <v>6.9187933999999993</v>
      </c>
      <c r="W26">
        <f t="shared" si="3"/>
        <v>2.4890702</v>
      </c>
      <c r="X26">
        <f t="shared" si="4"/>
        <v>0.56210830000000001</v>
      </c>
    </row>
    <row r="27" spans="1:24" x14ac:dyDescent="0.3">
      <c r="A27" s="107"/>
      <c r="B27" s="20" t="s">
        <v>105</v>
      </c>
      <c r="C27" s="21" t="s">
        <v>91</v>
      </c>
      <c r="D27" s="20">
        <v>90</v>
      </c>
      <c r="E27" t="s">
        <v>48</v>
      </c>
      <c r="F27" t="s">
        <v>49</v>
      </c>
      <c r="G27" t="s">
        <v>15</v>
      </c>
      <c r="H27">
        <v>2436.8530000000001</v>
      </c>
      <c r="I27">
        <v>835.62919999999997</v>
      </c>
      <c r="J27">
        <v>552.53089999999997</v>
      </c>
      <c r="K27">
        <v>1</v>
      </c>
      <c r="L27">
        <v>91.372699999999995</v>
      </c>
      <c r="M27">
        <v>563.56690000000003</v>
      </c>
      <c r="N27">
        <v>38.0777</v>
      </c>
      <c r="O27">
        <v>28.5473</v>
      </c>
      <c r="P27">
        <v>36.551099999999998</v>
      </c>
      <c r="Q27">
        <v>177.9222</v>
      </c>
      <c r="S27" s="25">
        <f t="shared" si="0"/>
        <v>4.7620509999999996</v>
      </c>
      <c r="U27">
        <v>4.7097499999999997</v>
      </c>
      <c r="V27">
        <f t="shared" si="2"/>
        <v>2.4368530000000002</v>
      </c>
      <c r="W27">
        <f t="shared" si="3"/>
        <v>0.83562919999999996</v>
      </c>
      <c r="X27">
        <f t="shared" si="4"/>
        <v>0.55253089999999994</v>
      </c>
    </row>
    <row r="28" spans="1:24" x14ac:dyDescent="0.3">
      <c r="A28" s="107"/>
      <c r="B28" s="20" t="s">
        <v>106</v>
      </c>
      <c r="C28" s="21" t="s">
        <v>93</v>
      </c>
      <c r="D28" s="20">
        <v>90</v>
      </c>
      <c r="E28" t="s">
        <v>50</v>
      </c>
      <c r="F28" t="s">
        <v>51</v>
      </c>
      <c r="G28" t="s">
        <v>15</v>
      </c>
      <c r="H28">
        <v>1438.0804000000001</v>
      </c>
      <c r="I28">
        <v>516.97990000000004</v>
      </c>
      <c r="J28">
        <v>76.197500000000005</v>
      </c>
      <c r="K28">
        <v>1</v>
      </c>
      <c r="L28">
        <v>39.497199999999999</v>
      </c>
      <c r="M28">
        <v>107.1046</v>
      </c>
      <c r="O28">
        <v>40.102699999999999</v>
      </c>
      <c r="Q28">
        <v>93.436700000000002</v>
      </c>
      <c r="S28" s="25">
        <f t="shared" si="0"/>
        <v>2.3123990000000005</v>
      </c>
      <c r="U28">
        <v>2.2600980000000006</v>
      </c>
      <c r="V28">
        <f t="shared" si="2"/>
        <v>1.4380804</v>
      </c>
      <c r="W28">
        <f t="shared" si="3"/>
        <v>0.51697990000000005</v>
      </c>
      <c r="X28">
        <f t="shared" si="4"/>
        <v>7.6197500000000001E-2</v>
      </c>
    </row>
    <row r="29" spans="1:24" x14ac:dyDescent="0.3">
      <c r="A29" s="107"/>
      <c r="B29" s="20" t="s">
        <v>107</v>
      </c>
      <c r="C29" s="21" t="s">
        <v>95</v>
      </c>
      <c r="D29" s="20">
        <v>90</v>
      </c>
      <c r="E29" t="s">
        <v>52</v>
      </c>
      <c r="F29" t="s">
        <v>53</v>
      </c>
      <c r="G29" t="s">
        <v>15</v>
      </c>
      <c r="H29">
        <v>5357.3031000000001</v>
      </c>
      <c r="I29">
        <v>1922.4123</v>
      </c>
      <c r="J29">
        <v>813.76400000000001</v>
      </c>
      <c r="K29">
        <v>1</v>
      </c>
      <c r="L29">
        <v>1045.0589</v>
      </c>
      <c r="M29">
        <v>935.27520000000004</v>
      </c>
      <c r="N29">
        <v>490.13760000000002</v>
      </c>
      <c r="O29">
        <v>129.61529999999999</v>
      </c>
      <c r="P29">
        <v>195.4588</v>
      </c>
      <c r="Q29">
        <v>66.769499999999994</v>
      </c>
      <c r="S29" s="25">
        <f t="shared" si="0"/>
        <v>10.9567947</v>
      </c>
      <c r="U29">
        <v>10.9044937</v>
      </c>
      <c r="V29">
        <f t="shared" si="2"/>
        <v>5.3573031000000002</v>
      </c>
      <c r="W29">
        <f t="shared" si="3"/>
        <v>1.9224123</v>
      </c>
      <c r="X29">
        <f t="shared" si="4"/>
        <v>0.81376400000000004</v>
      </c>
    </row>
    <row r="30" spans="1:24" x14ac:dyDescent="0.3">
      <c r="A30" s="107"/>
      <c r="B30" s="20" t="s">
        <v>108</v>
      </c>
      <c r="C30" s="21" t="s">
        <v>97</v>
      </c>
      <c r="D30" s="20">
        <v>90</v>
      </c>
      <c r="E30" t="s">
        <v>54</v>
      </c>
      <c r="F30" t="s">
        <v>55</v>
      </c>
      <c r="G30" t="s">
        <v>15</v>
      </c>
      <c r="H30">
        <v>5028.4522999999999</v>
      </c>
      <c r="I30">
        <v>2050.924</v>
      </c>
      <c r="J30">
        <v>753.98119999999994</v>
      </c>
      <c r="K30">
        <v>1</v>
      </c>
      <c r="L30">
        <v>1616.4404</v>
      </c>
      <c r="M30">
        <v>795.51369999999997</v>
      </c>
      <c r="N30">
        <v>442.59019999999998</v>
      </c>
      <c r="O30">
        <v>129.8895</v>
      </c>
      <c r="P30">
        <v>201.0018</v>
      </c>
      <c r="Q30">
        <v>81.162599999999998</v>
      </c>
      <c r="S30" s="25">
        <f t="shared" si="0"/>
        <v>11.100955699999998</v>
      </c>
      <c r="U30">
        <v>11.048654699999998</v>
      </c>
      <c r="V30">
        <f t="shared" si="2"/>
        <v>5.0284522999999997</v>
      </c>
      <c r="W30">
        <f t="shared" si="3"/>
        <v>2.0509240000000002</v>
      </c>
      <c r="X30">
        <f t="shared" si="4"/>
        <v>0.75398119999999991</v>
      </c>
    </row>
    <row r="31" spans="1:24" x14ac:dyDescent="0.3">
      <c r="B31" t="s">
        <v>3</v>
      </c>
      <c r="E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</row>
  </sheetData>
  <mergeCells count="2">
    <mergeCell ref="A11:A20"/>
    <mergeCell ref="A21:A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2CEAD-C83B-4C6C-85C7-54E0EE1AF15B}">
  <dimension ref="A5:R45"/>
  <sheetViews>
    <sheetView topLeftCell="A6" zoomScale="70" zoomScaleNormal="70" workbookViewId="0">
      <selection activeCell="A21" sqref="A21:XFD22"/>
    </sheetView>
  </sheetViews>
  <sheetFormatPr defaultRowHeight="14.4" x14ac:dyDescent="0.3"/>
  <cols>
    <col min="1" max="1" width="11.5546875" style="33" customWidth="1"/>
    <col min="2" max="2" width="16.109375" style="33" customWidth="1"/>
    <col min="3" max="3" width="20.33203125" style="33" customWidth="1"/>
    <col min="4" max="4" width="28.109375" style="33" customWidth="1"/>
    <col min="5" max="5" width="6.5546875" style="33" bestFit="1" customWidth="1"/>
    <col min="6" max="6" width="10.5546875" style="33" customWidth="1"/>
    <col min="7" max="7" width="11" style="33" customWidth="1"/>
    <col min="8" max="8" width="26.33203125" style="33" customWidth="1"/>
    <col min="9" max="9" width="32.109375" style="33" customWidth="1"/>
    <col min="10" max="10" width="24.88671875" style="33" customWidth="1"/>
    <col min="11" max="11" width="13" style="33" customWidth="1"/>
    <col min="12" max="13" width="11.33203125" style="33" customWidth="1"/>
    <col min="14" max="256" width="8.88671875" style="33"/>
    <col min="257" max="257" width="11.5546875" style="33" customWidth="1"/>
    <col min="258" max="258" width="16.109375" style="33" customWidth="1"/>
    <col min="259" max="259" width="20.33203125" style="33" customWidth="1"/>
    <col min="260" max="260" width="28.109375" style="33" customWidth="1"/>
    <col min="261" max="261" width="6.5546875" style="33" bestFit="1" customWidth="1"/>
    <col min="262" max="262" width="10.5546875" style="33" customWidth="1"/>
    <col min="263" max="263" width="11" style="33" customWidth="1"/>
    <col min="264" max="264" width="26.33203125" style="33" customWidth="1"/>
    <col min="265" max="265" width="32.109375" style="33" customWidth="1"/>
    <col min="266" max="266" width="24.88671875" style="33" customWidth="1"/>
    <col min="267" max="267" width="13" style="33" customWidth="1"/>
    <col min="268" max="269" width="11.33203125" style="33" customWidth="1"/>
    <col min="270" max="512" width="8.88671875" style="33"/>
    <col min="513" max="513" width="11.5546875" style="33" customWidth="1"/>
    <col min="514" max="514" width="16.109375" style="33" customWidth="1"/>
    <col min="515" max="515" width="20.33203125" style="33" customWidth="1"/>
    <col min="516" max="516" width="28.109375" style="33" customWidth="1"/>
    <col min="517" max="517" width="6.5546875" style="33" bestFit="1" customWidth="1"/>
    <col min="518" max="518" width="10.5546875" style="33" customWidth="1"/>
    <col min="519" max="519" width="11" style="33" customWidth="1"/>
    <col min="520" max="520" width="26.33203125" style="33" customWidth="1"/>
    <col min="521" max="521" width="32.109375" style="33" customWidth="1"/>
    <col min="522" max="522" width="24.88671875" style="33" customWidth="1"/>
    <col min="523" max="523" width="13" style="33" customWidth="1"/>
    <col min="524" max="525" width="11.33203125" style="33" customWidth="1"/>
    <col min="526" max="768" width="8.88671875" style="33"/>
    <col min="769" max="769" width="11.5546875" style="33" customWidth="1"/>
    <col min="770" max="770" width="16.109375" style="33" customWidth="1"/>
    <col min="771" max="771" width="20.33203125" style="33" customWidth="1"/>
    <col min="772" max="772" width="28.109375" style="33" customWidth="1"/>
    <col min="773" max="773" width="6.5546875" style="33" bestFit="1" customWidth="1"/>
    <col min="774" max="774" width="10.5546875" style="33" customWidth="1"/>
    <col min="775" max="775" width="11" style="33" customWidth="1"/>
    <col min="776" max="776" width="26.33203125" style="33" customWidth="1"/>
    <col min="777" max="777" width="32.109375" style="33" customWidth="1"/>
    <col min="778" max="778" width="24.88671875" style="33" customWidth="1"/>
    <col min="779" max="779" width="13" style="33" customWidth="1"/>
    <col min="780" max="781" width="11.33203125" style="33" customWidth="1"/>
    <col min="782" max="1024" width="8.88671875" style="33"/>
    <col min="1025" max="1025" width="11.5546875" style="33" customWidth="1"/>
    <col min="1026" max="1026" width="16.109375" style="33" customWidth="1"/>
    <col min="1027" max="1027" width="20.33203125" style="33" customWidth="1"/>
    <col min="1028" max="1028" width="28.109375" style="33" customWidth="1"/>
    <col min="1029" max="1029" width="6.5546875" style="33" bestFit="1" customWidth="1"/>
    <col min="1030" max="1030" width="10.5546875" style="33" customWidth="1"/>
    <col min="1031" max="1031" width="11" style="33" customWidth="1"/>
    <col min="1032" max="1032" width="26.33203125" style="33" customWidth="1"/>
    <col min="1033" max="1033" width="32.109375" style="33" customWidth="1"/>
    <col min="1034" max="1034" width="24.88671875" style="33" customWidth="1"/>
    <col min="1035" max="1035" width="13" style="33" customWidth="1"/>
    <col min="1036" max="1037" width="11.33203125" style="33" customWidth="1"/>
    <col min="1038" max="1280" width="8.88671875" style="33"/>
    <col min="1281" max="1281" width="11.5546875" style="33" customWidth="1"/>
    <col min="1282" max="1282" width="16.109375" style="33" customWidth="1"/>
    <col min="1283" max="1283" width="20.33203125" style="33" customWidth="1"/>
    <col min="1284" max="1284" width="28.109375" style="33" customWidth="1"/>
    <col min="1285" max="1285" width="6.5546875" style="33" bestFit="1" customWidth="1"/>
    <col min="1286" max="1286" width="10.5546875" style="33" customWidth="1"/>
    <col min="1287" max="1287" width="11" style="33" customWidth="1"/>
    <col min="1288" max="1288" width="26.33203125" style="33" customWidth="1"/>
    <col min="1289" max="1289" width="32.109375" style="33" customWidth="1"/>
    <col min="1290" max="1290" width="24.88671875" style="33" customWidth="1"/>
    <col min="1291" max="1291" width="13" style="33" customWidth="1"/>
    <col min="1292" max="1293" width="11.33203125" style="33" customWidth="1"/>
    <col min="1294" max="1536" width="8.88671875" style="33"/>
    <col min="1537" max="1537" width="11.5546875" style="33" customWidth="1"/>
    <col min="1538" max="1538" width="16.109375" style="33" customWidth="1"/>
    <col min="1539" max="1539" width="20.33203125" style="33" customWidth="1"/>
    <col min="1540" max="1540" width="28.109375" style="33" customWidth="1"/>
    <col min="1541" max="1541" width="6.5546875" style="33" bestFit="1" customWidth="1"/>
    <col min="1542" max="1542" width="10.5546875" style="33" customWidth="1"/>
    <col min="1543" max="1543" width="11" style="33" customWidth="1"/>
    <col min="1544" max="1544" width="26.33203125" style="33" customWidth="1"/>
    <col min="1545" max="1545" width="32.109375" style="33" customWidth="1"/>
    <col min="1546" max="1546" width="24.88671875" style="33" customWidth="1"/>
    <col min="1547" max="1547" width="13" style="33" customWidth="1"/>
    <col min="1548" max="1549" width="11.33203125" style="33" customWidth="1"/>
    <col min="1550" max="1792" width="8.88671875" style="33"/>
    <col min="1793" max="1793" width="11.5546875" style="33" customWidth="1"/>
    <col min="1794" max="1794" width="16.109375" style="33" customWidth="1"/>
    <col min="1795" max="1795" width="20.33203125" style="33" customWidth="1"/>
    <col min="1796" max="1796" width="28.109375" style="33" customWidth="1"/>
    <col min="1797" max="1797" width="6.5546875" style="33" bestFit="1" customWidth="1"/>
    <col min="1798" max="1798" width="10.5546875" style="33" customWidth="1"/>
    <col min="1799" max="1799" width="11" style="33" customWidth="1"/>
    <col min="1800" max="1800" width="26.33203125" style="33" customWidth="1"/>
    <col min="1801" max="1801" width="32.109375" style="33" customWidth="1"/>
    <col min="1802" max="1802" width="24.88671875" style="33" customWidth="1"/>
    <col min="1803" max="1803" width="13" style="33" customWidth="1"/>
    <col min="1804" max="1805" width="11.33203125" style="33" customWidth="1"/>
    <col min="1806" max="2048" width="8.88671875" style="33"/>
    <col min="2049" max="2049" width="11.5546875" style="33" customWidth="1"/>
    <col min="2050" max="2050" width="16.109375" style="33" customWidth="1"/>
    <col min="2051" max="2051" width="20.33203125" style="33" customWidth="1"/>
    <col min="2052" max="2052" width="28.109375" style="33" customWidth="1"/>
    <col min="2053" max="2053" width="6.5546875" style="33" bestFit="1" customWidth="1"/>
    <col min="2054" max="2054" width="10.5546875" style="33" customWidth="1"/>
    <col min="2055" max="2055" width="11" style="33" customWidth="1"/>
    <col min="2056" max="2056" width="26.33203125" style="33" customWidth="1"/>
    <col min="2057" max="2057" width="32.109375" style="33" customWidth="1"/>
    <col min="2058" max="2058" width="24.88671875" style="33" customWidth="1"/>
    <col min="2059" max="2059" width="13" style="33" customWidth="1"/>
    <col min="2060" max="2061" width="11.33203125" style="33" customWidth="1"/>
    <col min="2062" max="2304" width="8.88671875" style="33"/>
    <col min="2305" max="2305" width="11.5546875" style="33" customWidth="1"/>
    <col min="2306" max="2306" width="16.109375" style="33" customWidth="1"/>
    <col min="2307" max="2307" width="20.33203125" style="33" customWidth="1"/>
    <col min="2308" max="2308" width="28.109375" style="33" customWidth="1"/>
    <col min="2309" max="2309" width="6.5546875" style="33" bestFit="1" customWidth="1"/>
    <col min="2310" max="2310" width="10.5546875" style="33" customWidth="1"/>
    <col min="2311" max="2311" width="11" style="33" customWidth="1"/>
    <col min="2312" max="2312" width="26.33203125" style="33" customWidth="1"/>
    <col min="2313" max="2313" width="32.109375" style="33" customWidth="1"/>
    <col min="2314" max="2314" width="24.88671875" style="33" customWidth="1"/>
    <col min="2315" max="2315" width="13" style="33" customWidth="1"/>
    <col min="2316" max="2317" width="11.33203125" style="33" customWidth="1"/>
    <col min="2318" max="2560" width="8.88671875" style="33"/>
    <col min="2561" max="2561" width="11.5546875" style="33" customWidth="1"/>
    <col min="2562" max="2562" width="16.109375" style="33" customWidth="1"/>
    <col min="2563" max="2563" width="20.33203125" style="33" customWidth="1"/>
    <col min="2564" max="2564" width="28.109375" style="33" customWidth="1"/>
    <col min="2565" max="2565" width="6.5546875" style="33" bestFit="1" customWidth="1"/>
    <col min="2566" max="2566" width="10.5546875" style="33" customWidth="1"/>
    <col min="2567" max="2567" width="11" style="33" customWidth="1"/>
    <col min="2568" max="2568" width="26.33203125" style="33" customWidth="1"/>
    <col min="2569" max="2569" width="32.109375" style="33" customWidth="1"/>
    <col min="2570" max="2570" width="24.88671875" style="33" customWidth="1"/>
    <col min="2571" max="2571" width="13" style="33" customWidth="1"/>
    <col min="2572" max="2573" width="11.33203125" style="33" customWidth="1"/>
    <col min="2574" max="2816" width="8.88671875" style="33"/>
    <col min="2817" max="2817" width="11.5546875" style="33" customWidth="1"/>
    <col min="2818" max="2818" width="16.109375" style="33" customWidth="1"/>
    <col min="2819" max="2819" width="20.33203125" style="33" customWidth="1"/>
    <col min="2820" max="2820" width="28.109375" style="33" customWidth="1"/>
    <col min="2821" max="2821" width="6.5546875" style="33" bestFit="1" customWidth="1"/>
    <col min="2822" max="2822" width="10.5546875" style="33" customWidth="1"/>
    <col min="2823" max="2823" width="11" style="33" customWidth="1"/>
    <col min="2824" max="2824" width="26.33203125" style="33" customWidth="1"/>
    <col min="2825" max="2825" width="32.109375" style="33" customWidth="1"/>
    <col min="2826" max="2826" width="24.88671875" style="33" customWidth="1"/>
    <col min="2827" max="2827" width="13" style="33" customWidth="1"/>
    <col min="2828" max="2829" width="11.33203125" style="33" customWidth="1"/>
    <col min="2830" max="3072" width="8.88671875" style="33"/>
    <col min="3073" max="3073" width="11.5546875" style="33" customWidth="1"/>
    <col min="3074" max="3074" width="16.109375" style="33" customWidth="1"/>
    <col min="3075" max="3075" width="20.33203125" style="33" customWidth="1"/>
    <col min="3076" max="3076" width="28.109375" style="33" customWidth="1"/>
    <col min="3077" max="3077" width="6.5546875" style="33" bestFit="1" customWidth="1"/>
    <col min="3078" max="3078" width="10.5546875" style="33" customWidth="1"/>
    <col min="3079" max="3079" width="11" style="33" customWidth="1"/>
    <col min="3080" max="3080" width="26.33203125" style="33" customWidth="1"/>
    <col min="3081" max="3081" width="32.109375" style="33" customWidth="1"/>
    <col min="3082" max="3082" width="24.88671875" style="33" customWidth="1"/>
    <col min="3083" max="3083" width="13" style="33" customWidth="1"/>
    <col min="3084" max="3085" width="11.33203125" style="33" customWidth="1"/>
    <col min="3086" max="3328" width="8.88671875" style="33"/>
    <col min="3329" max="3329" width="11.5546875" style="33" customWidth="1"/>
    <col min="3330" max="3330" width="16.109375" style="33" customWidth="1"/>
    <col min="3331" max="3331" width="20.33203125" style="33" customWidth="1"/>
    <col min="3332" max="3332" width="28.109375" style="33" customWidth="1"/>
    <col min="3333" max="3333" width="6.5546875" style="33" bestFit="1" customWidth="1"/>
    <col min="3334" max="3334" width="10.5546875" style="33" customWidth="1"/>
    <col min="3335" max="3335" width="11" style="33" customWidth="1"/>
    <col min="3336" max="3336" width="26.33203125" style="33" customWidth="1"/>
    <col min="3337" max="3337" width="32.109375" style="33" customWidth="1"/>
    <col min="3338" max="3338" width="24.88671875" style="33" customWidth="1"/>
    <col min="3339" max="3339" width="13" style="33" customWidth="1"/>
    <col min="3340" max="3341" width="11.33203125" style="33" customWidth="1"/>
    <col min="3342" max="3584" width="8.88671875" style="33"/>
    <col min="3585" max="3585" width="11.5546875" style="33" customWidth="1"/>
    <col min="3586" max="3586" width="16.109375" style="33" customWidth="1"/>
    <col min="3587" max="3587" width="20.33203125" style="33" customWidth="1"/>
    <col min="3588" max="3588" width="28.109375" style="33" customWidth="1"/>
    <col min="3589" max="3589" width="6.5546875" style="33" bestFit="1" customWidth="1"/>
    <col min="3590" max="3590" width="10.5546875" style="33" customWidth="1"/>
    <col min="3591" max="3591" width="11" style="33" customWidth="1"/>
    <col min="3592" max="3592" width="26.33203125" style="33" customWidth="1"/>
    <col min="3593" max="3593" width="32.109375" style="33" customWidth="1"/>
    <col min="3594" max="3594" width="24.88671875" style="33" customWidth="1"/>
    <col min="3595" max="3595" width="13" style="33" customWidth="1"/>
    <col min="3596" max="3597" width="11.33203125" style="33" customWidth="1"/>
    <col min="3598" max="3840" width="8.88671875" style="33"/>
    <col min="3841" max="3841" width="11.5546875" style="33" customWidth="1"/>
    <col min="3842" max="3842" width="16.109375" style="33" customWidth="1"/>
    <col min="3843" max="3843" width="20.33203125" style="33" customWidth="1"/>
    <col min="3844" max="3844" width="28.109375" style="33" customWidth="1"/>
    <col min="3845" max="3845" width="6.5546875" style="33" bestFit="1" customWidth="1"/>
    <col min="3846" max="3846" width="10.5546875" style="33" customWidth="1"/>
    <col min="3847" max="3847" width="11" style="33" customWidth="1"/>
    <col min="3848" max="3848" width="26.33203125" style="33" customWidth="1"/>
    <col min="3849" max="3849" width="32.109375" style="33" customWidth="1"/>
    <col min="3850" max="3850" width="24.88671875" style="33" customWidth="1"/>
    <col min="3851" max="3851" width="13" style="33" customWidth="1"/>
    <col min="3852" max="3853" width="11.33203125" style="33" customWidth="1"/>
    <col min="3854" max="4096" width="8.88671875" style="33"/>
    <col min="4097" max="4097" width="11.5546875" style="33" customWidth="1"/>
    <col min="4098" max="4098" width="16.109375" style="33" customWidth="1"/>
    <col min="4099" max="4099" width="20.33203125" style="33" customWidth="1"/>
    <col min="4100" max="4100" width="28.109375" style="33" customWidth="1"/>
    <col min="4101" max="4101" width="6.5546875" style="33" bestFit="1" customWidth="1"/>
    <col min="4102" max="4102" width="10.5546875" style="33" customWidth="1"/>
    <col min="4103" max="4103" width="11" style="33" customWidth="1"/>
    <col min="4104" max="4104" width="26.33203125" style="33" customWidth="1"/>
    <col min="4105" max="4105" width="32.109375" style="33" customWidth="1"/>
    <col min="4106" max="4106" width="24.88671875" style="33" customWidth="1"/>
    <col min="4107" max="4107" width="13" style="33" customWidth="1"/>
    <col min="4108" max="4109" width="11.33203125" style="33" customWidth="1"/>
    <col min="4110" max="4352" width="8.88671875" style="33"/>
    <col min="4353" max="4353" width="11.5546875" style="33" customWidth="1"/>
    <col min="4354" max="4354" width="16.109375" style="33" customWidth="1"/>
    <col min="4355" max="4355" width="20.33203125" style="33" customWidth="1"/>
    <col min="4356" max="4356" width="28.109375" style="33" customWidth="1"/>
    <col min="4357" max="4357" width="6.5546875" style="33" bestFit="1" customWidth="1"/>
    <col min="4358" max="4358" width="10.5546875" style="33" customWidth="1"/>
    <col min="4359" max="4359" width="11" style="33" customWidth="1"/>
    <col min="4360" max="4360" width="26.33203125" style="33" customWidth="1"/>
    <col min="4361" max="4361" width="32.109375" style="33" customWidth="1"/>
    <col min="4362" max="4362" width="24.88671875" style="33" customWidth="1"/>
    <col min="4363" max="4363" width="13" style="33" customWidth="1"/>
    <col min="4364" max="4365" width="11.33203125" style="33" customWidth="1"/>
    <col min="4366" max="4608" width="8.88671875" style="33"/>
    <col min="4609" max="4609" width="11.5546875" style="33" customWidth="1"/>
    <col min="4610" max="4610" width="16.109375" style="33" customWidth="1"/>
    <col min="4611" max="4611" width="20.33203125" style="33" customWidth="1"/>
    <col min="4612" max="4612" width="28.109375" style="33" customWidth="1"/>
    <col min="4613" max="4613" width="6.5546875" style="33" bestFit="1" customWidth="1"/>
    <col min="4614" max="4614" width="10.5546875" style="33" customWidth="1"/>
    <col min="4615" max="4615" width="11" style="33" customWidth="1"/>
    <col min="4616" max="4616" width="26.33203125" style="33" customWidth="1"/>
    <col min="4617" max="4617" width="32.109375" style="33" customWidth="1"/>
    <col min="4618" max="4618" width="24.88671875" style="33" customWidth="1"/>
    <col min="4619" max="4619" width="13" style="33" customWidth="1"/>
    <col min="4620" max="4621" width="11.33203125" style="33" customWidth="1"/>
    <col min="4622" max="4864" width="8.88671875" style="33"/>
    <col min="4865" max="4865" width="11.5546875" style="33" customWidth="1"/>
    <col min="4866" max="4866" width="16.109375" style="33" customWidth="1"/>
    <col min="4867" max="4867" width="20.33203125" style="33" customWidth="1"/>
    <col min="4868" max="4868" width="28.109375" style="33" customWidth="1"/>
    <col min="4869" max="4869" width="6.5546875" style="33" bestFit="1" customWidth="1"/>
    <col min="4870" max="4870" width="10.5546875" style="33" customWidth="1"/>
    <col min="4871" max="4871" width="11" style="33" customWidth="1"/>
    <col min="4872" max="4872" width="26.33203125" style="33" customWidth="1"/>
    <col min="4873" max="4873" width="32.109375" style="33" customWidth="1"/>
    <col min="4874" max="4874" width="24.88671875" style="33" customWidth="1"/>
    <col min="4875" max="4875" width="13" style="33" customWidth="1"/>
    <col min="4876" max="4877" width="11.33203125" style="33" customWidth="1"/>
    <col min="4878" max="5120" width="8.88671875" style="33"/>
    <col min="5121" max="5121" width="11.5546875" style="33" customWidth="1"/>
    <col min="5122" max="5122" width="16.109375" style="33" customWidth="1"/>
    <col min="5123" max="5123" width="20.33203125" style="33" customWidth="1"/>
    <col min="5124" max="5124" width="28.109375" style="33" customWidth="1"/>
    <col min="5125" max="5125" width="6.5546875" style="33" bestFit="1" customWidth="1"/>
    <col min="5126" max="5126" width="10.5546875" style="33" customWidth="1"/>
    <col min="5127" max="5127" width="11" style="33" customWidth="1"/>
    <col min="5128" max="5128" width="26.33203125" style="33" customWidth="1"/>
    <col min="5129" max="5129" width="32.109375" style="33" customWidth="1"/>
    <col min="5130" max="5130" width="24.88671875" style="33" customWidth="1"/>
    <col min="5131" max="5131" width="13" style="33" customWidth="1"/>
    <col min="5132" max="5133" width="11.33203125" style="33" customWidth="1"/>
    <col min="5134" max="5376" width="8.88671875" style="33"/>
    <col min="5377" max="5377" width="11.5546875" style="33" customWidth="1"/>
    <col min="5378" max="5378" width="16.109375" style="33" customWidth="1"/>
    <col min="5379" max="5379" width="20.33203125" style="33" customWidth="1"/>
    <col min="5380" max="5380" width="28.109375" style="33" customWidth="1"/>
    <col min="5381" max="5381" width="6.5546875" style="33" bestFit="1" customWidth="1"/>
    <col min="5382" max="5382" width="10.5546875" style="33" customWidth="1"/>
    <col min="5383" max="5383" width="11" style="33" customWidth="1"/>
    <col min="5384" max="5384" width="26.33203125" style="33" customWidth="1"/>
    <col min="5385" max="5385" width="32.109375" style="33" customWidth="1"/>
    <col min="5386" max="5386" width="24.88671875" style="33" customWidth="1"/>
    <col min="5387" max="5387" width="13" style="33" customWidth="1"/>
    <col min="5388" max="5389" width="11.33203125" style="33" customWidth="1"/>
    <col min="5390" max="5632" width="8.88671875" style="33"/>
    <col min="5633" max="5633" width="11.5546875" style="33" customWidth="1"/>
    <col min="5634" max="5634" width="16.109375" style="33" customWidth="1"/>
    <col min="5635" max="5635" width="20.33203125" style="33" customWidth="1"/>
    <col min="5636" max="5636" width="28.109375" style="33" customWidth="1"/>
    <col min="5637" max="5637" width="6.5546875" style="33" bestFit="1" customWidth="1"/>
    <col min="5638" max="5638" width="10.5546875" style="33" customWidth="1"/>
    <col min="5639" max="5639" width="11" style="33" customWidth="1"/>
    <col min="5640" max="5640" width="26.33203125" style="33" customWidth="1"/>
    <col min="5641" max="5641" width="32.109375" style="33" customWidth="1"/>
    <col min="5642" max="5642" width="24.88671875" style="33" customWidth="1"/>
    <col min="5643" max="5643" width="13" style="33" customWidth="1"/>
    <col min="5644" max="5645" width="11.33203125" style="33" customWidth="1"/>
    <col min="5646" max="5888" width="8.88671875" style="33"/>
    <col min="5889" max="5889" width="11.5546875" style="33" customWidth="1"/>
    <col min="5890" max="5890" width="16.109375" style="33" customWidth="1"/>
    <col min="5891" max="5891" width="20.33203125" style="33" customWidth="1"/>
    <col min="5892" max="5892" width="28.109375" style="33" customWidth="1"/>
    <col min="5893" max="5893" width="6.5546875" style="33" bestFit="1" customWidth="1"/>
    <col min="5894" max="5894" width="10.5546875" style="33" customWidth="1"/>
    <col min="5895" max="5895" width="11" style="33" customWidth="1"/>
    <col min="5896" max="5896" width="26.33203125" style="33" customWidth="1"/>
    <col min="5897" max="5897" width="32.109375" style="33" customWidth="1"/>
    <col min="5898" max="5898" width="24.88671875" style="33" customWidth="1"/>
    <col min="5899" max="5899" width="13" style="33" customWidth="1"/>
    <col min="5900" max="5901" width="11.33203125" style="33" customWidth="1"/>
    <col min="5902" max="6144" width="8.88671875" style="33"/>
    <col min="6145" max="6145" width="11.5546875" style="33" customWidth="1"/>
    <col min="6146" max="6146" width="16.109375" style="33" customWidth="1"/>
    <col min="6147" max="6147" width="20.33203125" style="33" customWidth="1"/>
    <col min="6148" max="6148" width="28.109375" style="33" customWidth="1"/>
    <col min="6149" max="6149" width="6.5546875" style="33" bestFit="1" customWidth="1"/>
    <col min="6150" max="6150" width="10.5546875" style="33" customWidth="1"/>
    <col min="6151" max="6151" width="11" style="33" customWidth="1"/>
    <col min="6152" max="6152" width="26.33203125" style="33" customWidth="1"/>
    <col min="6153" max="6153" width="32.109375" style="33" customWidth="1"/>
    <col min="6154" max="6154" width="24.88671875" style="33" customWidth="1"/>
    <col min="6155" max="6155" width="13" style="33" customWidth="1"/>
    <col min="6156" max="6157" width="11.33203125" style="33" customWidth="1"/>
    <col min="6158" max="6400" width="8.88671875" style="33"/>
    <col min="6401" max="6401" width="11.5546875" style="33" customWidth="1"/>
    <col min="6402" max="6402" width="16.109375" style="33" customWidth="1"/>
    <col min="6403" max="6403" width="20.33203125" style="33" customWidth="1"/>
    <col min="6404" max="6404" width="28.109375" style="33" customWidth="1"/>
    <col min="6405" max="6405" width="6.5546875" style="33" bestFit="1" customWidth="1"/>
    <col min="6406" max="6406" width="10.5546875" style="33" customWidth="1"/>
    <col min="6407" max="6407" width="11" style="33" customWidth="1"/>
    <col min="6408" max="6408" width="26.33203125" style="33" customWidth="1"/>
    <col min="6409" max="6409" width="32.109375" style="33" customWidth="1"/>
    <col min="6410" max="6410" width="24.88671875" style="33" customWidth="1"/>
    <col min="6411" max="6411" width="13" style="33" customWidth="1"/>
    <col min="6412" max="6413" width="11.33203125" style="33" customWidth="1"/>
    <col min="6414" max="6656" width="8.88671875" style="33"/>
    <col min="6657" max="6657" width="11.5546875" style="33" customWidth="1"/>
    <col min="6658" max="6658" width="16.109375" style="33" customWidth="1"/>
    <col min="6659" max="6659" width="20.33203125" style="33" customWidth="1"/>
    <col min="6660" max="6660" width="28.109375" style="33" customWidth="1"/>
    <col min="6661" max="6661" width="6.5546875" style="33" bestFit="1" customWidth="1"/>
    <col min="6662" max="6662" width="10.5546875" style="33" customWidth="1"/>
    <col min="6663" max="6663" width="11" style="33" customWidth="1"/>
    <col min="6664" max="6664" width="26.33203125" style="33" customWidth="1"/>
    <col min="6665" max="6665" width="32.109375" style="33" customWidth="1"/>
    <col min="6666" max="6666" width="24.88671875" style="33" customWidth="1"/>
    <col min="6667" max="6667" width="13" style="33" customWidth="1"/>
    <col min="6668" max="6669" width="11.33203125" style="33" customWidth="1"/>
    <col min="6670" max="6912" width="8.88671875" style="33"/>
    <col min="6913" max="6913" width="11.5546875" style="33" customWidth="1"/>
    <col min="6914" max="6914" width="16.109375" style="33" customWidth="1"/>
    <col min="6915" max="6915" width="20.33203125" style="33" customWidth="1"/>
    <col min="6916" max="6916" width="28.109375" style="33" customWidth="1"/>
    <col min="6917" max="6917" width="6.5546875" style="33" bestFit="1" customWidth="1"/>
    <col min="6918" max="6918" width="10.5546875" style="33" customWidth="1"/>
    <col min="6919" max="6919" width="11" style="33" customWidth="1"/>
    <col min="6920" max="6920" width="26.33203125" style="33" customWidth="1"/>
    <col min="6921" max="6921" width="32.109375" style="33" customWidth="1"/>
    <col min="6922" max="6922" width="24.88671875" style="33" customWidth="1"/>
    <col min="6923" max="6923" width="13" style="33" customWidth="1"/>
    <col min="6924" max="6925" width="11.33203125" style="33" customWidth="1"/>
    <col min="6926" max="7168" width="8.88671875" style="33"/>
    <col min="7169" max="7169" width="11.5546875" style="33" customWidth="1"/>
    <col min="7170" max="7170" width="16.109375" style="33" customWidth="1"/>
    <col min="7171" max="7171" width="20.33203125" style="33" customWidth="1"/>
    <col min="7172" max="7172" width="28.109375" style="33" customWidth="1"/>
    <col min="7173" max="7173" width="6.5546875" style="33" bestFit="1" customWidth="1"/>
    <col min="7174" max="7174" width="10.5546875" style="33" customWidth="1"/>
    <col min="7175" max="7175" width="11" style="33" customWidth="1"/>
    <col min="7176" max="7176" width="26.33203125" style="33" customWidth="1"/>
    <col min="7177" max="7177" width="32.109375" style="33" customWidth="1"/>
    <col min="7178" max="7178" width="24.88671875" style="33" customWidth="1"/>
    <col min="7179" max="7179" width="13" style="33" customWidth="1"/>
    <col min="7180" max="7181" width="11.33203125" style="33" customWidth="1"/>
    <col min="7182" max="7424" width="8.88671875" style="33"/>
    <col min="7425" max="7425" width="11.5546875" style="33" customWidth="1"/>
    <col min="7426" max="7426" width="16.109375" style="33" customWidth="1"/>
    <col min="7427" max="7427" width="20.33203125" style="33" customWidth="1"/>
    <col min="7428" max="7428" width="28.109375" style="33" customWidth="1"/>
    <col min="7429" max="7429" width="6.5546875" style="33" bestFit="1" customWidth="1"/>
    <col min="7430" max="7430" width="10.5546875" style="33" customWidth="1"/>
    <col min="7431" max="7431" width="11" style="33" customWidth="1"/>
    <col min="7432" max="7432" width="26.33203125" style="33" customWidth="1"/>
    <col min="7433" max="7433" width="32.109375" style="33" customWidth="1"/>
    <col min="7434" max="7434" width="24.88671875" style="33" customWidth="1"/>
    <col min="7435" max="7435" width="13" style="33" customWidth="1"/>
    <col min="7436" max="7437" width="11.33203125" style="33" customWidth="1"/>
    <col min="7438" max="7680" width="8.88671875" style="33"/>
    <col min="7681" max="7681" width="11.5546875" style="33" customWidth="1"/>
    <col min="7682" max="7682" width="16.109375" style="33" customWidth="1"/>
    <col min="7683" max="7683" width="20.33203125" style="33" customWidth="1"/>
    <col min="7684" max="7684" width="28.109375" style="33" customWidth="1"/>
    <col min="7685" max="7685" width="6.5546875" style="33" bestFit="1" customWidth="1"/>
    <col min="7686" max="7686" width="10.5546875" style="33" customWidth="1"/>
    <col min="7687" max="7687" width="11" style="33" customWidth="1"/>
    <col min="7688" max="7688" width="26.33203125" style="33" customWidth="1"/>
    <col min="7689" max="7689" width="32.109375" style="33" customWidth="1"/>
    <col min="7690" max="7690" width="24.88671875" style="33" customWidth="1"/>
    <col min="7691" max="7691" width="13" style="33" customWidth="1"/>
    <col min="7692" max="7693" width="11.33203125" style="33" customWidth="1"/>
    <col min="7694" max="7936" width="8.88671875" style="33"/>
    <col min="7937" max="7937" width="11.5546875" style="33" customWidth="1"/>
    <col min="7938" max="7938" width="16.109375" style="33" customWidth="1"/>
    <col min="7939" max="7939" width="20.33203125" style="33" customWidth="1"/>
    <col min="7940" max="7940" width="28.109375" style="33" customWidth="1"/>
    <col min="7941" max="7941" width="6.5546875" style="33" bestFit="1" customWidth="1"/>
    <col min="7942" max="7942" width="10.5546875" style="33" customWidth="1"/>
    <col min="7943" max="7943" width="11" style="33" customWidth="1"/>
    <col min="7944" max="7944" width="26.33203125" style="33" customWidth="1"/>
    <col min="7945" max="7945" width="32.109375" style="33" customWidth="1"/>
    <col min="7946" max="7946" width="24.88671875" style="33" customWidth="1"/>
    <col min="7947" max="7947" width="13" style="33" customWidth="1"/>
    <col min="7948" max="7949" width="11.33203125" style="33" customWidth="1"/>
    <col min="7950" max="8192" width="8.88671875" style="33"/>
    <col min="8193" max="8193" width="11.5546875" style="33" customWidth="1"/>
    <col min="8194" max="8194" width="16.109375" style="33" customWidth="1"/>
    <col min="8195" max="8195" width="20.33203125" style="33" customWidth="1"/>
    <col min="8196" max="8196" width="28.109375" style="33" customWidth="1"/>
    <col min="8197" max="8197" width="6.5546875" style="33" bestFit="1" customWidth="1"/>
    <col min="8198" max="8198" width="10.5546875" style="33" customWidth="1"/>
    <col min="8199" max="8199" width="11" style="33" customWidth="1"/>
    <col min="8200" max="8200" width="26.33203125" style="33" customWidth="1"/>
    <col min="8201" max="8201" width="32.109375" style="33" customWidth="1"/>
    <col min="8202" max="8202" width="24.88671875" style="33" customWidth="1"/>
    <col min="8203" max="8203" width="13" style="33" customWidth="1"/>
    <col min="8204" max="8205" width="11.33203125" style="33" customWidth="1"/>
    <col min="8206" max="8448" width="8.88671875" style="33"/>
    <col min="8449" max="8449" width="11.5546875" style="33" customWidth="1"/>
    <col min="8450" max="8450" width="16.109375" style="33" customWidth="1"/>
    <col min="8451" max="8451" width="20.33203125" style="33" customWidth="1"/>
    <col min="8452" max="8452" width="28.109375" style="33" customWidth="1"/>
    <col min="8453" max="8453" width="6.5546875" style="33" bestFit="1" customWidth="1"/>
    <col min="8454" max="8454" width="10.5546875" style="33" customWidth="1"/>
    <col min="8455" max="8455" width="11" style="33" customWidth="1"/>
    <col min="8456" max="8456" width="26.33203125" style="33" customWidth="1"/>
    <col min="8457" max="8457" width="32.109375" style="33" customWidth="1"/>
    <col min="8458" max="8458" width="24.88671875" style="33" customWidth="1"/>
    <col min="8459" max="8459" width="13" style="33" customWidth="1"/>
    <col min="8460" max="8461" width="11.33203125" style="33" customWidth="1"/>
    <col min="8462" max="8704" width="8.88671875" style="33"/>
    <col min="8705" max="8705" width="11.5546875" style="33" customWidth="1"/>
    <col min="8706" max="8706" width="16.109375" style="33" customWidth="1"/>
    <col min="8707" max="8707" width="20.33203125" style="33" customWidth="1"/>
    <col min="8708" max="8708" width="28.109375" style="33" customWidth="1"/>
    <col min="8709" max="8709" width="6.5546875" style="33" bestFit="1" customWidth="1"/>
    <col min="8710" max="8710" width="10.5546875" style="33" customWidth="1"/>
    <col min="8711" max="8711" width="11" style="33" customWidth="1"/>
    <col min="8712" max="8712" width="26.33203125" style="33" customWidth="1"/>
    <col min="8713" max="8713" width="32.109375" style="33" customWidth="1"/>
    <col min="8714" max="8714" width="24.88671875" style="33" customWidth="1"/>
    <col min="8715" max="8715" width="13" style="33" customWidth="1"/>
    <col min="8716" max="8717" width="11.33203125" style="33" customWidth="1"/>
    <col min="8718" max="8960" width="8.88671875" style="33"/>
    <col min="8961" max="8961" width="11.5546875" style="33" customWidth="1"/>
    <col min="8962" max="8962" width="16.109375" style="33" customWidth="1"/>
    <col min="8963" max="8963" width="20.33203125" style="33" customWidth="1"/>
    <col min="8964" max="8964" width="28.109375" style="33" customWidth="1"/>
    <col min="8965" max="8965" width="6.5546875" style="33" bestFit="1" customWidth="1"/>
    <col min="8966" max="8966" width="10.5546875" style="33" customWidth="1"/>
    <col min="8967" max="8967" width="11" style="33" customWidth="1"/>
    <col min="8968" max="8968" width="26.33203125" style="33" customWidth="1"/>
    <col min="8969" max="8969" width="32.109375" style="33" customWidth="1"/>
    <col min="8970" max="8970" width="24.88671875" style="33" customWidth="1"/>
    <col min="8971" max="8971" width="13" style="33" customWidth="1"/>
    <col min="8972" max="8973" width="11.33203125" style="33" customWidth="1"/>
    <col min="8974" max="9216" width="8.88671875" style="33"/>
    <col min="9217" max="9217" width="11.5546875" style="33" customWidth="1"/>
    <col min="9218" max="9218" width="16.109375" style="33" customWidth="1"/>
    <col min="9219" max="9219" width="20.33203125" style="33" customWidth="1"/>
    <col min="9220" max="9220" width="28.109375" style="33" customWidth="1"/>
    <col min="9221" max="9221" width="6.5546875" style="33" bestFit="1" customWidth="1"/>
    <col min="9222" max="9222" width="10.5546875" style="33" customWidth="1"/>
    <col min="9223" max="9223" width="11" style="33" customWidth="1"/>
    <col min="9224" max="9224" width="26.33203125" style="33" customWidth="1"/>
    <col min="9225" max="9225" width="32.109375" style="33" customWidth="1"/>
    <col min="9226" max="9226" width="24.88671875" style="33" customWidth="1"/>
    <col min="9227" max="9227" width="13" style="33" customWidth="1"/>
    <col min="9228" max="9229" width="11.33203125" style="33" customWidth="1"/>
    <col min="9230" max="9472" width="8.88671875" style="33"/>
    <col min="9473" max="9473" width="11.5546875" style="33" customWidth="1"/>
    <col min="9474" max="9474" width="16.109375" style="33" customWidth="1"/>
    <col min="9475" max="9475" width="20.33203125" style="33" customWidth="1"/>
    <col min="9476" max="9476" width="28.109375" style="33" customWidth="1"/>
    <col min="9477" max="9477" width="6.5546875" style="33" bestFit="1" customWidth="1"/>
    <col min="9478" max="9478" width="10.5546875" style="33" customWidth="1"/>
    <col min="9479" max="9479" width="11" style="33" customWidth="1"/>
    <col min="9480" max="9480" width="26.33203125" style="33" customWidth="1"/>
    <col min="9481" max="9481" width="32.109375" style="33" customWidth="1"/>
    <col min="9482" max="9482" width="24.88671875" style="33" customWidth="1"/>
    <col min="9483" max="9483" width="13" style="33" customWidth="1"/>
    <col min="9484" max="9485" width="11.33203125" style="33" customWidth="1"/>
    <col min="9486" max="9728" width="8.88671875" style="33"/>
    <col min="9729" max="9729" width="11.5546875" style="33" customWidth="1"/>
    <col min="9730" max="9730" width="16.109375" style="33" customWidth="1"/>
    <col min="9731" max="9731" width="20.33203125" style="33" customWidth="1"/>
    <col min="9732" max="9732" width="28.109375" style="33" customWidth="1"/>
    <col min="9733" max="9733" width="6.5546875" style="33" bestFit="1" customWidth="1"/>
    <col min="9734" max="9734" width="10.5546875" style="33" customWidth="1"/>
    <col min="9735" max="9735" width="11" style="33" customWidth="1"/>
    <col min="9736" max="9736" width="26.33203125" style="33" customWidth="1"/>
    <col min="9737" max="9737" width="32.109375" style="33" customWidth="1"/>
    <col min="9738" max="9738" width="24.88671875" style="33" customWidth="1"/>
    <col min="9739" max="9739" width="13" style="33" customWidth="1"/>
    <col min="9740" max="9741" width="11.33203125" style="33" customWidth="1"/>
    <col min="9742" max="9984" width="8.88671875" style="33"/>
    <col min="9985" max="9985" width="11.5546875" style="33" customWidth="1"/>
    <col min="9986" max="9986" width="16.109375" style="33" customWidth="1"/>
    <col min="9987" max="9987" width="20.33203125" style="33" customWidth="1"/>
    <col min="9988" max="9988" width="28.109375" style="33" customWidth="1"/>
    <col min="9989" max="9989" width="6.5546875" style="33" bestFit="1" customWidth="1"/>
    <col min="9990" max="9990" width="10.5546875" style="33" customWidth="1"/>
    <col min="9991" max="9991" width="11" style="33" customWidth="1"/>
    <col min="9992" max="9992" width="26.33203125" style="33" customWidth="1"/>
    <col min="9993" max="9993" width="32.109375" style="33" customWidth="1"/>
    <col min="9994" max="9994" width="24.88671875" style="33" customWidth="1"/>
    <col min="9995" max="9995" width="13" style="33" customWidth="1"/>
    <col min="9996" max="9997" width="11.33203125" style="33" customWidth="1"/>
    <col min="9998" max="10240" width="8.88671875" style="33"/>
    <col min="10241" max="10241" width="11.5546875" style="33" customWidth="1"/>
    <col min="10242" max="10242" width="16.109375" style="33" customWidth="1"/>
    <col min="10243" max="10243" width="20.33203125" style="33" customWidth="1"/>
    <col min="10244" max="10244" width="28.109375" style="33" customWidth="1"/>
    <col min="10245" max="10245" width="6.5546875" style="33" bestFit="1" customWidth="1"/>
    <col min="10246" max="10246" width="10.5546875" style="33" customWidth="1"/>
    <col min="10247" max="10247" width="11" style="33" customWidth="1"/>
    <col min="10248" max="10248" width="26.33203125" style="33" customWidth="1"/>
    <col min="10249" max="10249" width="32.109375" style="33" customWidth="1"/>
    <col min="10250" max="10250" width="24.88671875" style="33" customWidth="1"/>
    <col min="10251" max="10251" width="13" style="33" customWidth="1"/>
    <col min="10252" max="10253" width="11.33203125" style="33" customWidth="1"/>
    <col min="10254" max="10496" width="8.88671875" style="33"/>
    <col min="10497" max="10497" width="11.5546875" style="33" customWidth="1"/>
    <col min="10498" max="10498" width="16.109375" style="33" customWidth="1"/>
    <col min="10499" max="10499" width="20.33203125" style="33" customWidth="1"/>
    <col min="10500" max="10500" width="28.109375" style="33" customWidth="1"/>
    <col min="10501" max="10501" width="6.5546875" style="33" bestFit="1" customWidth="1"/>
    <col min="10502" max="10502" width="10.5546875" style="33" customWidth="1"/>
    <col min="10503" max="10503" width="11" style="33" customWidth="1"/>
    <col min="10504" max="10504" width="26.33203125" style="33" customWidth="1"/>
    <col min="10505" max="10505" width="32.109375" style="33" customWidth="1"/>
    <col min="10506" max="10506" width="24.88671875" style="33" customWidth="1"/>
    <col min="10507" max="10507" width="13" style="33" customWidth="1"/>
    <col min="10508" max="10509" width="11.33203125" style="33" customWidth="1"/>
    <col min="10510" max="10752" width="8.88671875" style="33"/>
    <col min="10753" max="10753" width="11.5546875" style="33" customWidth="1"/>
    <col min="10754" max="10754" width="16.109375" style="33" customWidth="1"/>
    <col min="10755" max="10755" width="20.33203125" style="33" customWidth="1"/>
    <col min="10756" max="10756" width="28.109375" style="33" customWidth="1"/>
    <col min="10757" max="10757" width="6.5546875" style="33" bestFit="1" customWidth="1"/>
    <col min="10758" max="10758" width="10.5546875" style="33" customWidth="1"/>
    <col min="10759" max="10759" width="11" style="33" customWidth="1"/>
    <col min="10760" max="10760" width="26.33203125" style="33" customWidth="1"/>
    <col min="10761" max="10761" width="32.109375" style="33" customWidth="1"/>
    <col min="10762" max="10762" width="24.88671875" style="33" customWidth="1"/>
    <col min="10763" max="10763" width="13" style="33" customWidth="1"/>
    <col min="10764" max="10765" width="11.33203125" style="33" customWidth="1"/>
    <col min="10766" max="11008" width="8.88671875" style="33"/>
    <col min="11009" max="11009" width="11.5546875" style="33" customWidth="1"/>
    <col min="11010" max="11010" width="16.109375" style="33" customWidth="1"/>
    <col min="11011" max="11011" width="20.33203125" style="33" customWidth="1"/>
    <col min="11012" max="11012" width="28.109375" style="33" customWidth="1"/>
    <col min="11013" max="11013" width="6.5546875" style="33" bestFit="1" customWidth="1"/>
    <col min="11014" max="11014" width="10.5546875" style="33" customWidth="1"/>
    <col min="11015" max="11015" width="11" style="33" customWidth="1"/>
    <col min="11016" max="11016" width="26.33203125" style="33" customWidth="1"/>
    <col min="11017" max="11017" width="32.109375" style="33" customWidth="1"/>
    <col min="11018" max="11018" width="24.88671875" style="33" customWidth="1"/>
    <col min="11019" max="11019" width="13" style="33" customWidth="1"/>
    <col min="11020" max="11021" width="11.33203125" style="33" customWidth="1"/>
    <col min="11022" max="11264" width="8.88671875" style="33"/>
    <col min="11265" max="11265" width="11.5546875" style="33" customWidth="1"/>
    <col min="11266" max="11266" width="16.109375" style="33" customWidth="1"/>
    <col min="11267" max="11267" width="20.33203125" style="33" customWidth="1"/>
    <col min="11268" max="11268" width="28.109375" style="33" customWidth="1"/>
    <col min="11269" max="11269" width="6.5546875" style="33" bestFit="1" customWidth="1"/>
    <col min="11270" max="11270" width="10.5546875" style="33" customWidth="1"/>
    <col min="11271" max="11271" width="11" style="33" customWidth="1"/>
    <col min="11272" max="11272" width="26.33203125" style="33" customWidth="1"/>
    <col min="11273" max="11273" width="32.109375" style="33" customWidth="1"/>
    <col min="11274" max="11274" width="24.88671875" style="33" customWidth="1"/>
    <col min="11275" max="11275" width="13" style="33" customWidth="1"/>
    <col min="11276" max="11277" width="11.33203125" style="33" customWidth="1"/>
    <col min="11278" max="11520" width="8.88671875" style="33"/>
    <col min="11521" max="11521" width="11.5546875" style="33" customWidth="1"/>
    <col min="11522" max="11522" width="16.109375" style="33" customWidth="1"/>
    <col min="11523" max="11523" width="20.33203125" style="33" customWidth="1"/>
    <col min="11524" max="11524" width="28.109375" style="33" customWidth="1"/>
    <col min="11525" max="11525" width="6.5546875" style="33" bestFit="1" customWidth="1"/>
    <col min="11526" max="11526" width="10.5546875" style="33" customWidth="1"/>
    <col min="11527" max="11527" width="11" style="33" customWidth="1"/>
    <col min="11528" max="11528" width="26.33203125" style="33" customWidth="1"/>
    <col min="11529" max="11529" width="32.109375" style="33" customWidth="1"/>
    <col min="11530" max="11530" width="24.88671875" style="33" customWidth="1"/>
    <col min="11531" max="11531" width="13" style="33" customWidth="1"/>
    <col min="11532" max="11533" width="11.33203125" style="33" customWidth="1"/>
    <col min="11534" max="11776" width="8.88671875" style="33"/>
    <col min="11777" max="11777" width="11.5546875" style="33" customWidth="1"/>
    <col min="11778" max="11778" width="16.109375" style="33" customWidth="1"/>
    <col min="11779" max="11779" width="20.33203125" style="33" customWidth="1"/>
    <col min="11780" max="11780" width="28.109375" style="33" customWidth="1"/>
    <col min="11781" max="11781" width="6.5546875" style="33" bestFit="1" customWidth="1"/>
    <col min="11782" max="11782" width="10.5546875" style="33" customWidth="1"/>
    <col min="11783" max="11783" width="11" style="33" customWidth="1"/>
    <col min="11784" max="11784" width="26.33203125" style="33" customWidth="1"/>
    <col min="11785" max="11785" width="32.109375" style="33" customWidth="1"/>
    <col min="11786" max="11786" width="24.88671875" style="33" customWidth="1"/>
    <col min="11787" max="11787" width="13" style="33" customWidth="1"/>
    <col min="11788" max="11789" width="11.33203125" style="33" customWidth="1"/>
    <col min="11790" max="12032" width="8.88671875" style="33"/>
    <col min="12033" max="12033" width="11.5546875" style="33" customWidth="1"/>
    <col min="12034" max="12034" width="16.109375" style="33" customWidth="1"/>
    <col min="12035" max="12035" width="20.33203125" style="33" customWidth="1"/>
    <col min="12036" max="12036" width="28.109375" style="33" customWidth="1"/>
    <col min="12037" max="12037" width="6.5546875" style="33" bestFit="1" customWidth="1"/>
    <col min="12038" max="12038" width="10.5546875" style="33" customWidth="1"/>
    <col min="12039" max="12039" width="11" style="33" customWidth="1"/>
    <col min="12040" max="12040" width="26.33203125" style="33" customWidth="1"/>
    <col min="12041" max="12041" width="32.109375" style="33" customWidth="1"/>
    <col min="12042" max="12042" width="24.88671875" style="33" customWidth="1"/>
    <col min="12043" max="12043" width="13" style="33" customWidth="1"/>
    <col min="12044" max="12045" width="11.33203125" style="33" customWidth="1"/>
    <col min="12046" max="12288" width="8.88671875" style="33"/>
    <col min="12289" max="12289" width="11.5546875" style="33" customWidth="1"/>
    <col min="12290" max="12290" width="16.109375" style="33" customWidth="1"/>
    <col min="12291" max="12291" width="20.33203125" style="33" customWidth="1"/>
    <col min="12292" max="12292" width="28.109375" style="33" customWidth="1"/>
    <col min="12293" max="12293" width="6.5546875" style="33" bestFit="1" customWidth="1"/>
    <col min="12294" max="12294" width="10.5546875" style="33" customWidth="1"/>
    <col min="12295" max="12295" width="11" style="33" customWidth="1"/>
    <col min="12296" max="12296" width="26.33203125" style="33" customWidth="1"/>
    <col min="12297" max="12297" width="32.109375" style="33" customWidth="1"/>
    <col min="12298" max="12298" width="24.88671875" style="33" customWidth="1"/>
    <col min="12299" max="12299" width="13" style="33" customWidth="1"/>
    <col min="12300" max="12301" width="11.33203125" style="33" customWidth="1"/>
    <col min="12302" max="12544" width="8.88671875" style="33"/>
    <col min="12545" max="12545" width="11.5546875" style="33" customWidth="1"/>
    <col min="12546" max="12546" width="16.109375" style="33" customWidth="1"/>
    <col min="12547" max="12547" width="20.33203125" style="33" customWidth="1"/>
    <col min="12548" max="12548" width="28.109375" style="33" customWidth="1"/>
    <col min="12549" max="12549" width="6.5546875" style="33" bestFit="1" customWidth="1"/>
    <col min="12550" max="12550" width="10.5546875" style="33" customWidth="1"/>
    <col min="12551" max="12551" width="11" style="33" customWidth="1"/>
    <col min="12552" max="12552" width="26.33203125" style="33" customWidth="1"/>
    <col min="12553" max="12553" width="32.109375" style="33" customWidth="1"/>
    <col min="12554" max="12554" width="24.88671875" style="33" customWidth="1"/>
    <col min="12555" max="12555" width="13" style="33" customWidth="1"/>
    <col min="12556" max="12557" width="11.33203125" style="33" customWidth="1"/>
    <col min="12558" max="12800" width="8.88671875" style="33"/>
    <col min="12801" max="12801" width="11.5546875" style="33" customWidth="1"/>
    <col min="12802" max="12802" width="16.109375" style="33" customWidth="1"/>
    <col min="12803" max="12803" width="20.33203125" style="33" customWidth="1"/>
    <col min="12804" max="12804" width="28.109375" style="33" customWidth="1"/>
    <col min="12805" max="12805" width="6.5546875" style="33" bestFit="1" customWidth="1"/>
    <col min="12806" max="12806" width="10.5546875" style="33" customWidth="1"/>
    <col min="12807" max="12807" width="11" style="33" customWidth="1"/>
    <col min="12808" max="12808" width="26.33203125" style="33" customWidth="1"/>
    <col min="12809" max="12809" width="32.109375" style="33" customWidth="1"/>
    <col min="12810" max="12810" width="24.88671875" style="33" customWidth="1"/>
    <col min="12811" max="12811" width="13" style="33" customWidth="1"/>
    <col min="12812" max="12813" width="11.33203125" style="33" customWidth="1"/>
    <col min="12814" max="13056" width="8.88671875" style="33"/>
    <col min="13057" max="13057" width="11.5546875" style="33" customWidth="1"/>
    <col min="13058" max="13058" width="16.109375" style="33" customWidth="1"/>
    <col min="13059" max="13059" width="20.33203125" style="33" customWidth="1"/>
    <col min="13060" max="13060" width="28.109375" style="33" customWidth="1"/>
    <col min="13061" max="13061" width="6.5546875" style="33" bestFit="1" customWidth="1"/>
    <col min="13062" max="13062" width="10.5546875" style="33" customWidth="1"/>
    <col min="13063" max="13063" width="11" style="33" customWidth="1"/>
    <col min="13064" max="13064" width="26.33203125" style="33" customWidth="1"/>
    <col min="13065" max="13065" width="32.109375" style="33" customWidth="1"/>
    <col min="13066" max="13066" width="24.88671875" style="33" customWidth="1"/>
    <col min="13067" max="13067" width="13" style="33" customWidth="1"/>
    <col min="13068" max="13069" width="11.33203125" style="33" customWidth="1"/>
    <col min="13070" max="13312" width="8.88671875" style="33"/>
    <col min="13313" max="13313" width="11.5546875" style="33" customWidth="1"/>
    <col min="13314" max="13314" width="16.109375" style="33" customWidth="1"/>
    <col min="13315" max="13315" width="20.33203125" style="33" customWidth="1"/>
    <col min="13316" max="13316" width="28.109375" style="33" customWidth="1"/>
    <col min="13317" max="13317" width="6.5546875" style="33" bestFit="1" customWidth="1"/>
    <col min="13318" max="13318" width="10.5546875" style="33" customWidth="1"/>
    <col min="13319" max="13319" width="11" style="33" customWidth="1"/>
    <col min="13320" max="13320" width="26.33203125" style="33" customWidth="1"/>
    <col min="13321" max="13321" width="32.109375" style="33" customWidth="1"/>
    <col min="13322" max="13322" width="24.88671875" style="33" customWidth="1"/>
    <col min="13323" max="13323" width="13" style="33" customWidth="1"/>
    <col min="13324" max="13325" width="11.33203125" style="33" customWidth="1"/>
    <col min="13326" max="13568" width="8.88671875" style="33"/>
    <col min="13569" max="13569" width="11.5546875" style="33" customWidth="1"/>
    <col min="13570" max="13570" width="16.109375" style="33" customWidth="1"/>
    <col min="13571" max="13571" width="20.33203125" style="33" customWidth="1"/>
    <col min="13572" max="13572" width="28.109375" style="33" customWidth="1"/>
    <col min="13573" max="13573" width="6.5546875" style="33" bestFit="1" customWidth="1"/>
    <col min="13574" max="13574" width="10.5546875" style="33" customWidth="1"/>
    <col min="13575" max="13575" width="11" style="33" customWidth="1"/>
    <col min="13576" max="13576" width="26.33203125" style="33" customWidth="1"/>
    <col min="13577" max="13577" width="32.109375" style="33" customWidth="1"/>
    <col min="13578" max="13578" width="24.88671875" style="33" customWidth="1"/>
    <col min="13579" max="13579" width="13" style="33" customWidth="1"/>
    <col min="13580" max="13581" width="11.33203125" style="33" customWidth="1"/>
    <col min="13582" max="13824" width="8.88671875" style="33"/>
    <col min="13825" max="13825" width="11.5546875" style="33" customWidth="1"/>
    <col min="13826" max="13826" width="16.109375" style="33" customWidth="1"/>
    <col min="13827" max="13827" width="20.33203125" style="33" customWidth="1"/>
    <col min="13828" max="13828" width="28.109375" style="33" customWidth="1"/>
    <col min="13829" max="13829" width="6.5546875" style="33" bestFit="1" customWidth="1"/>
    <col min="13830" max="13830" width="10.5546875" style="33" customWidth="1"/>
    <col min="13831" max="13831" width="11" style="33" customWidth="1"/>
    <col min="13832" max="13832" width="26.33203125" style="33" customWidth="1"/>
    <col min="13833" max="13833" width="32.109375" style="33" customWidth="1"/>
    <col min="13834" max="13834" width="24.88671875" style="33" customWidth="1"/>
    <col min="13835" max="13835" width="13" style="33" customWidth="1"/>
    <col min="13836" max="13837" width="11.33203125" style="33" customWidth="1"/>
    <col min="13838" max="14080" width="8.88671875" style="33"/>
    <col min="14081" max="14081" width="11.5546875" style="33" customWidth="1"/>
    <col min="14082" max="14082" width="16.109375" style="33" customWidth="1"/>
    <col min="14083" max="14083" width="20.33203125" style="33" customWidth="1"/>
    <col min="14084" max="14084" width="28.109375" style="33" customWidth="1"/>
    <col min="14085" max="14085" width="6.5546875" style="33" bestFit="1" customWidth="1"/>
    <col min="14086" max="14086" width="10.5546875" style="33" customWidth="1"/>
    <col min="14087" max="14087" width="11" style="33" customWidth="1"/>
    <col min="14088" max="14088" width="26.33203125" style="33" customWidth="1"/>
    <col min="14089" max="14089" width="32.109375" style="33" customWidth="1"/>
    <col min="14090" max="14090" width="24.88671875" style="33" customWidth="1"/>
    <col min="14091" max="14091" width="13" style="33" customWidth="1"/>
    <col min="14092" max="14093" width="11.33203125" style="33" customWidth="1"/>
    <col min="14094" max="14336" width="8.88671875" style="33"/>
    <col min="14337" max="14337" width="11.5546875" style="33" customWidth="1"/>
    <col min="14338" max="14338" width="16.109375" style="33" customWidth="1"/>
    <col min="14339" max="14339" width="20.33203125" style="33" customWidth="1"/>
    <col min="14340" max="14340" width="28.109375" style="33" customWidth="1"/>
    <col min="14341" max="14341" width="6.5546875" style="33" bestFit="1" customWidth="1"/>
    <col min="14342" max="14342" width="10.5546875" style="33" customWidth="1"/>
    <col min="14343" max="14343" width="11" style="33" customWidth="1"/>
    <col min="14344" max="14344" width="26.33203125" style="33" customWidth="1"/>
    <col min="14345" max="14345" width="32.109375" style="33" customWidth="1"/>
    <col min="14346" max="14346" width="24.88671875" style="33" customWidth="1"/>
    <col min="14347" max="14347" width="13" style="33" customWidth="1"/>
    <col min="14348" max="14349" width="11.33203125" style="33" customWidth="1"/>
    <col min="14350" max="14592" width="8.88671875" style="33"/>
    <col min="14593" max="14593" width="11.5546875" style="33" customWidth="1"/>
    <col min="14594" max="14594" width="16.109375" style="33" customWidth="1"/>
    <col min="14595" max="14595" width="20.33203125" style="33" customWidth="1"/>
    <col min="14596" max="14596" width="28.109375" style="33" customWidth="1"/>
    <col min="14597" max="14597" width="6.5546875" style="33" bestFit="1" customWidth="1"/>
    <col min="14598" max="14598" width="10.5546875" style="33" customWidth="1"/>
    <col min="14599" max="14599" width="11" style="33" customWidth="1"/>
    <col min="14600" max="14600" width="26.33203125" style="33" customWidth="1"/>
    <col min="14601" max="14601" width="32.109375" style="33" customWidth="1"/>
    <col min="14602" max="14602" width="24.88671875" style="33" customWidth="1"/>
    <col min="14603" max="14603" width="13" style="33" customWidth="1"/>
    <col min="14604" max="14605" width="11.33203125" style="33" customWidth="1"/>
    <col min="14606" max="14848" width="8.88671875" style="33"/>
    <col min="14849" max="14849" width="11.5546875" style="33" customWidth="1"/>
    <col min="14850" max="14850" width="16.109375" style="33" customWidth="1"/>
    <col min="14851" max="14851" width="20.33203125" style="33" customWidth="1"/>
    <col min="14852" max="14852" width="28.109375" style="33" customWidth="1"/>
    <col min="14853" max="14853" width="6.5546875" style="33" bestFit="1" customWidth="1"/>
    <col min="14854" max="14854" width="10.5546875" style="33" customWidth="1"/>
    <col min="14855" max="14855" width="11" style="33" customWidth="1"/>
    <col min="14856" max="14856" width="26.33203125" style="33" customWidth="1"/>
    <col min="14857" max="14857" width="32.109375" style="33" customWidth="1"/>
    <col min="14858" max="14858" width="24.88671875" style="33" customWidth="1"/>
    <col min="14859" max="14859" width="13" style="33" customWidth="1"/>
    <col min="14860" max="14861" width="11.33203125" style="33" customWidth="1"/>
    <col min="14862" max="15104" width="8.88671875" style="33"/>
    <col min="15105" max="15105" width="11.5546875" style="33" customWidth="1"/>
    <col min="15106" max="15106" width="16.109375" style="33" customWidth="1"/>
    <col min="15107" max="15107" width="20.33203125" style="33" customWidth="1"/>
    <col min="15108" max="15108" width="28.109375" style="33" customWidth="1"/>
    <col min="15109" max="15109" width="6.5546875" style="33" bestFit="1" customWidth="1"/>
    <col min="15110" max="15110" width="10.5546875" style="33" customWidth="1"/>
    <col min="15111" max="15111" width="11" style="33" customWidth="1"/>
    <col min="15112" max="15112" width="26.33203125" style="33" customWidth="1"/>
    <col min="15113" max="15113" width="32.109375" style="33" customWidth="1"/>
    <col min="15114" max="15114" width="24.88671875" style="33" customWidth="1"/>
    <col min="15115" max="15115" width="13" style="33" customWidth="1"/>
    <col min="15116" max="15117" width="11.33203125" style="33" customWidth="1"/>
    <col min="15118" max="15360" width="8.88671875" style="33"/>
    <col min="15361" max="15361" width="11.5546875" style="33" customWidth="1"/>
    <col min="15362" max="15362" width="16.109375" style="33" customWidth="1"/>
    <col min="15363" max="15363" width="20.33203125" style="33" customWidth="1"/>
    <col min="15364" max="15364" width="28.109375" style="33" customWidth="1"/>
    <col min="15365" max="15365" width="6.5546875" style="33" bestFit="1" customWidth="1"/>
    <col min="15366" max="15366" width="10.5546875" style="33" customWidth="1"/>
    <col min="15367" max="15367" width="11" style="33" customWidth="1"/>
    <col min="15368" max="15368" width="26.33203125" style="33" customWidth="1"/>
    <col min="15369" max="15369" width="32.109375" style="33" customWidth="1"/>
    <col min="15370" max="15370" width="24.88671875" style="33" customWidth="1"/>
    <col min="15371" max="15371" width="13" style="33" customWidth="1"/>
    <col min="15372" max="15373" width="11.33203125" style="33" customWidth="1"/>
    <col min="15374" max="15616" width="8.88671875" style="33"/>
    <col min="15617" max="15617" width="11.5546875" style="33" customWidth="1"/>
    <col min="15618" max="15618" width="16.109375" style="33" customWidth="1"/>
    <col min="15619" max="15619" width="20.33203125" style="33" customWidth="1"/>
    <col min="15620" max="15620" width="28.109375" style="33" customWidth="1"/>
    <col min="15621" max="15621" width="6.5546875" style="33" bestFit="1" customWidth="1"/>
    <col min="15622" max="15622" width="10.5546875" style="33" customWidth="1"/>
    <col min="15623" max="15623" width="11" style="33" customWidth="1"/>
    <col min="15624" max="15624" width="26.33203125" style="33" customWidth="1"/>
    <col min="15625" max="15625" width="32.109375" style="33" customWidth="1"/>
    <col min="15626" max="15626" width="24.88671875" style="33" customWidth="1"/>
    <col min="15627" max="15627" width="13" style="33" customWidth="1"/>
    <col min="15628" max="15629" width="11.33203125" style="33" customWidth="1"/>
    <col min="15630" max="15872" width="8.88671875" style="33"/>
    <col min="15873" max="15873" width="11.5546875" style="33" customWidth="1"/>
    <col min="15874" max="15874" width="16.109375" style="33" customWidth="1"/>
    <col min="15875" max="15875" width="20.33203125" style="33" customWidth="1"/>
    <col min="15876" max="15876" width="28.109375" style="33" customWidth="1"/>
    <col min="15877" max="15877" width="6.5546875" style="33" bestFit="1" customWidth="1"/>
    <col min="15878" max="15878" width="10.5546875" style="33" customWidth="1"/>
    <col min="15879" max="15879" width="11" style="33" customWidth="1"/>
    <col min="15880" max="15880" width="26.33203125" style="33" customWidth="1"/>
    <col min="15881" max="15881" width="32.109375" style="33" customWidth="1"/>
    <col min="15882" max="15882" width="24.88671875" style="33" customWidth="1"/>
    <col min="15883" max="15883" width="13" style="33" customWidth="1"/>
    <col min="15884" max="15885" width="11.33203125" style="33" customWidth="1"/>
    <col min="15886" max="16128" width="8.88671875" style="33"/>
    <col min="16129" max="16129" width="11.5546875" style="33" customWidth="1"/>
    <col min="16130" max="16130" width="16.109375" style="33" customWidth="1"/>
    <col min="16131" max="16131" width="20.33203125" style="33" customWidth="1"/>
    <col min="16132" max="16132" width="28.109375" style="33" customWidth="1"/>
    <col min="16133" max="16133" width="6.5546875" style="33" bestFit="1" customWidth="1"/>
    <col min="16134" max="16134" width="10.5546875" style="33" customWidth="1"/>
    <col min="16135" max="16135" width="11" style="33" customWidth="1"/>
    <col min="16136" max="16136" width="26.33203125" style="33" customWidth="1"/>
    <col min="16137" max="16137" width="32.109375" style="33" customWidth="1"/>
    <col min="16138" max="16138" width="24.88671875" style="33" customWidth="1"/>
    <col min="16139" max="16139" width="13" style="33" customWidth="1"/>
    <col min="16140" max="16141" width="11.33203125" style="33" customWidth="1"/>
    <col min="16142" max="16384" width="8.88671875" style="33"/>
  </cols>
  <sheetData>
    <row r="5" spans="1:18" ht="24" thickBot="1" x14ac:dyDescent="0.5">
      <c r="C5" s="34" t="s">
        <v>112</v>
      </c>
      <c r="D5" s="35"/>
      <c r="E5" s="35"/>
      <c r="F5" s="35"/>
      <c r="G5" s="35"/>
      <c r="H5" s="35"/>
      <c r="I5" s="35"/>
      <c r="K5" s="36"/>
      <c r="L5" s="37"/>
      <c r="M5" s="38"/>
      <c r="N5" s="39"/>
    </row>
    <row r="6" spans="1:18" ht="15" thickTop="1" x14ac:dyDescent="0.3">
      <c r="K6" s="39"/>
      <c r="L6" s="39"/>
      <c r="M6" s="39"/>
      <c r="N6" s="39"/>
    </row>
    <row r="7" spans="1:18" ht="15.6" x14ac:dyDescent="0.3">
      <c r="E7" s="40"/>
      <c r="F7" s="41"/>
      <c r="H7" s="42"/>
      <c r="K7" s="43"/>
      <c r="L7" s="43"/>
      <c r="M7" s="43"/>
      <c r="N7" s="39"/>
    </row>
    <row r="8" spans="1:18" ht="21" x14ac:dyDescent="0.4">
      <c r="C8" s="44" t="s">
        <v>113</v>
      </c>
      <c r="D8" s="45"/>
      <c r="E8" s="46"/>
      <c r="F8" s="41"/>
      <c r="H8" s="47"/>
      <c r="I8" s="48"/>
      <c r="K8" s="42"/>
      <c r="L8" s="39"/>
      <c r="M8" s="39"/>
      <c r="N8" s="39"/>
    </row>
    <row r="9" spans="1:18" ht="21" x14ac:dyDescent="0.4">
      <c r="C9" s="44" t="s">
        <v>114</v>
      </c>
      <c r="D9" s="45"/>
      <c r="G9" s="49"/>
      <c r="H9" s="50" t="s">
        <v>115</v>
      </c>
      <c r="K9" s="42"/>
      <c r="L9" s="39"/>
      <c r="M9" s="39"/>
      <c r="N9" s="39"/>
    </row>
    <row r="10" spans="1:18" ht="21" x14ac:dyDescent="0.4">
      <c r="C10" s="44" t="s">
        <v>116</v>
      </c>
      <c r="D10" s="45"/>
      <c r="G10" s="41"/>
      <c r="H10" s="50" t="s">
        <v>117</v>
      </c>
      <c r="J10" s="51" t="s">
        <v>118</v>
      </c>
      <c r="L10" s="39"/>
      <c r="M10" s="39"/>
      <c r="N10" s="39"/>
    </row>
    <row r="11" spans="1:18" ht="15.6" x14ac:dyDescent="0.3">
      <c r="G11" s="41"/>
      <c r="H11" s="52"/>
      <c r="I11" s="53" t="s">
        <v>119</v>
      </c>
      <c r="J11" s="53" t="s">
        <v>120</v>
      </c>
      <c r="K11" s="39"/>
      <c r="N11" s="39"/>
    </row>
    <row r="12" spans="1:18" ht="16.2" thickBot="1" x14ac:dyDescent="0.35">
      <c r="C12" s="41"/>
      <c r="G12" s="41"/>
      <c r="H12" s="54" t="s">
        <v>121</v>
      </c>
      <c r="I12" s="53" t="s">
        <v>122</v>
      </c>
      <c r="J12" s="53" t="s">
        <v>123</v>
      </c>
      <c r="K12" s="39"/>
      <c r="N12" s="39"/>
    </row>
    <row r="13" spans="1:18" ht="15.6" x14ac:dyDescent="0.3">
      <c r="A13" s="53" t="s">
        <v>124</v>
      </c>
      <c r="B13" s="53" t="s">
        <v>125</v>
      </c>
      <c r="C13" s="55" t="s">
        <v>126</v>
      </c>
      <c r="D13" s="56" t="s">
        <v>126</v>
      </c>
      <c r="E13" s="57"/>
      <c r="F13" s="56" t="s">
        <v>127</v>
      </c>
      <c r="G13" s="56" t="s">
        <v>126</v>
      </c>
      <c r="H13" s="56" t="s">
        <v>128</v>
      </c>
      <c r="I13" s="58" t="s">
        <v>129</v>
      </c>
      <c r="J13" s="58" t="s">
        <v>130</v>
      </c>
      <c r="K13" s="56" t="s">
        <v>131</v>
      </c>
      <c r="L13" s="59"/>
      <c r="M13" s="60" t="s">
        <v>132</v>
      </c>
      <c r="N13" s="39"/>
    </row>
    <row r="14" spans="1:18" ht="16.2" thickBot="1" x14ac:dyDescent="0.35">
      <c r="C14" s="61" t="s">
        <v>114</v>
      </c>
      <c r="D14" s="62" t="s">
        <v>133</v>
      </c>
      <c r="E14" s="62" t="s">
        <v>134</v>
      </c>
      <c r="F14" s="62" t="s">
        <v>135</v>
      </c>
      <c r="G14" s="62" t="s">
        <v>135</v>
      </c>
      <c r="H14" s="62" t="s">
        <v>136</v>
      </c>
      <c r="I14" s="63" t="s">
        <v>137</v>
      </c>
      <c r="J14" s="64" t="s">
        <v>75</v>
      </c>
      <c r="K14" s="62" t="s">
        <v>138</v>
      </c>
      <c r="L14" s="65" t="s">
        <v>139</v>
      </c>
      <c r="M14" s="66"/>
      <c r="P14" s="53"/>
      <c r="Q14" s="53"/>
    </row>
    <row r="15" spans="1:18" ht="15.6" x14ac:dyDescent="0.3">
      <c r="C15" s="20" t="s">
        <v>76</v>
      </c>
      <c r="D15" s="21" t="s">
        <v>77</v>
      </c>
      <c r="E15" s="67">
        <v>1</v>
      </c>
      <c r="F15">
        <v>0.56798999999999999</v>
      </c>
      <c r="G15">
        <v>0.49314999999999998</v>
      </c>
      <c r="H15" s="68">
        <v>0.7349</v>
      </c>
      <c r="I15" s="69">
        <f>+(H15-(F15*$I$41))*100/G15</f>
        <v>33.778236161262342</v>
      </c>
      <c r="J15" s="70">
        <f>I15-'[1]ADL %'!S14</f>
        <v>34.023050816252834</v>
      </c>
      <c r="K15" s="71"/>
      <c r="L15" s="72"/>
      <c r="M15" s="73">
        <v>1.0396099999999999</v>
      </c>
      <c r="Q15" s="74"/>
      <c r="R15" s="74"/>
    </row>
    <row r="16" spans="1:18" ht="15.6" x14ac:dyDescent="0.3">
      <c r="C16" s="20" t="s">
        <v>81</v>
      </c>
      <c r="D16" s="21" t="s">
        <v>82</v>
      </c>
      <c r="E16" s="75">
        <v>2</v>
      </c>
      <c r="F16">
        <v>0.55349999999999999</v>
      </c>
      <c r="G16">
        <v>0.50422999999999996</v>
      </c>
      <c r="H16" s="76">
        <v>0.70965999999999996</v>
      </c>
      <c r="I16" s="69">
        <f>+(H16-(F16*$I$41))*100/G16</f>
        <v>30.905709163634604</v>
      </c>
      <c r="J16" s="70">
        <f>I16-'[1]ADL %'!S15</f>
        <v>31.249954394447425</v>
      </c>
      <c r="K16" s="75"/>
      <c r="L16" s="77"/>
      <c r="M16" s="78">
        <v>1.0363800000000001</v>
      </c>
      <c r="Q16" s="74"/>
      <c r="R16" s="74"/>
    </row>
    <row r="17" spans="3:18" ht="15.6" x14ac:dyDescent="0.3">
      <c r="C17" s="20" t="s">
        <v>83</v>
      </c>
      <c r="D17" s="21" t="s">
        <v>84</v>
      </c>
      <c r="E17" s="75">
        <v>3</v>
      </c>
      <c r="F17">
        <v>0.55030999999999997</v>
      </c>
      <c r="G17">
        <v>0.49886000000000003</v>
      </c>
      <c r="H17" s="76">
        <v>0.72499999999999998</v>
      </c>
      <c r="I17" s="69">
        <f t="shared" ref="I17:I36" si="0">+(H17-(F17*$I$41))*100/G17</f>
        <v>34.953238474763118</v>
      </c>
      <c r="J17" s="70">
        <f>I17-'[1]ADL %'!S16</f>
        <v>35.146807886816134</v>
      </c>
      <c r="K17" s="75"/>
      <c r="L17" s="77"/>
      <c r="M17" s="78">
        <v>1.02037</v>
      </c>
      <c r="Q17" s="74"/>
      <c r="R17" s="74"/>
    </row>
    <row r="18" spans="3:18" ht="15.6" x14ac:dyDescent="0.3">
      <c r="C18" s="20" t="s">
        <v>85</v>
      </c>
      <c r="D18" s="21" t="s">
        <v>84</v>
      </c>
      <c r="E18" s="75">
        <v>4</v>
      </c>
      <c r="F18">
        <v>0.57643999999999995</v>
      </c>
      <c r="G18">
        <v>0.50915999999999995</v>
      </c>
      <c r="H18" s="76">
        <v>0.76900000000000002</v>
      </c>
      <c r="I18" s="69">
        <f t="shared" si="0"/>
        <v>37.752852366547934</v>
      </c>
      <c r="J18" s="70">
        <f>I18-'[1]ADL %'!S17</f>
        <v>37.819760973954189</v>
      </c>
      <c r="K18" s="75"/>
      <c r="L18" s="77"/>
      <c r="M18" s="78">
        <v>1.05972</v>
      </c>
      <c r="Q18" s="74"/>
      <c r="R18" s="74"/>
    </row>
    <row r="19" spans="3:18" ht="15.6" x14ac:dyDescent="0.3">
      <c r="C19" s="20" t="s">
        <v>86</v>
      </c>
      <c r="D19" s="21" t="s">
        <v>87</v>
      </c>
      <c r="E19" s="75">
        <v>5</v>
      </c>
      <c r="F19">
        <v>0.56332000000000004</v>
      </c>
      <c r="G19">
        <v>0.50346000000000002</v>
      </c>
      <c r="H19" s="76">
        <v>0.73946999999999996</v>
      </c>
      <c r="I19" s="69">
        <f t="shared" si="0"/>
        <v>34.922358576979178</v>
      </c>
      <c r="J19" s="70">
        <f>I19-'[1]ADL %'!S18</f>
        <v>35.053016176186503</v>
      </c>
      <c r="K19" s="75"/>
      <c r="L19" s="77"/>
      <c r="M19" s="78">
        <v>1.04189</v>
      </c>
      <c r="Q19" s="74"/>
      <c r="R19" s="74"/>
    </row>
    <row r="20" spans="3:18" ht="15.6" x14ac:dyDescent="0.3">
      <c r="C20" s="20" t="s">
        <v>88</v>
      </c>
      <c r="D20" s="21" t="s">
        <v>89</v>
      </c>
      <c r="E20" s="75">
        <v>6</v>
      </c>
      <c r="F20">
        <v>0.59089000000000003</v>
      </c>
      <c r="G20">
        <v>0.50583999999999996</v>
      </c>
      <c r="H20" s="76">
        <v>0.76814000000000004</v>
      </c>
      <c r="I20" s="69">
        <f t="shared" si="0"/>
        <v>34.972315524262882</v>
      </c>
      <c r="J20" s="70">
        <f>I20-'[1]ADL %'!S19</f>
        <v>35.111081730529776</v>
      </c>
      <c r="K20" s="75"/>
      <c r="L20" s="77"/>
      <c r="M20" s="78">
        <v>1.0667599999999999</v>
      </c>
      <c r="Q20" s="74"/>
      <c r="R20" s="74"/>
    </row>
    <row r="21" spans="3:18" ht="15.6" x14ac:dyDescent="0.3">
      <c r="C21" s="20" t="s">
        <v>90</v>
      </c>
      <c r="D21" s="21" t="s">
        <v>91</v>
      </c>
      <c r="E21" s="75">
        <v>7</v>
      </c>
      <c r="F21">
        <v>0.60194000000000003</v>
      </c>
      <c r="G21">
        <v>0.49473</v>
      </c>
      <c r="H21" s="76">
        <v>0.77231000000000005</v>
      </c>
      <c r="I21" s="69">
        <f t="shared" si="0"/>
        <v>34.365712551638275</v>
      </c>
      <c r="J21" s="70">
        <f>I21-'[1]ADL %'!S20</f>
        <v>34.588404609243767</v>
      </c>
      <c r="K21" s="79"/>
      <c r="L21" s="77"/>
      <c r="M21" s="78">
        <v>1.0791500000000001</v>
      </c>
      <c r="Q21" s="74"/>
      <c r="R21" s="74"/>
    </row>
    <row r="22" spans="3:18" ht="15.6" x14ac:dyDescent="0.3">
      <c r="C22" s="20" t="s">
        <v>92</v>
      </c>
      <c r="D22" s="21" t="s">
        <v>93</v>
      </c>
      <c r="E22" s="75">
        <v>8</v>
      </c>
      <c r="F22">
        <v>0.59670999999999996</v>
      </c>
      <c r="G22">
        <v>0.49119000000000002</v>
      </c>
      <c r="H22" s="76">
        <v>0.76692000000000005</v>
      </c>
      <c r="I22" s="69">
        <f t="shared" si="0"/>
        <v>34.581435395336257</v>
      </c>
      <c r="J22" s="70">
        <f>I22-'[1]ADL %'!S21</f>
        <v>34.750146658626356</v>
      </c>
      <c r="K22" s="79"/>
      <c r="L22" s="80"/>
      <c r="M22" s="73">
        <v>1.0709900000000001</v>
      </c>
      <c r="Q22" s="74"/>
      <c r="R22" s="74"/>
    </row>
    <row r="23" spans="3:18" ht="15.6" x14ac:dyDescent="0.3">
      <c r="C23" s="20" t="s">
        <v>94</v>
      </c>
      <c r="D23" s="21" t="s">
        <v>95</v>
      </c>
      <c r="E23" s="75">
        <v>9</v>
      </c>
      <c r="F23">
        <v>0.60875999999999997</v>
      </c>
      <c r="G23">
        <v>0.50119999999999998</v>
      </c>
      <c r="H23" s="76">
        <v>0.77466999999999997</v>
      </c>
      <c r="I23" s="69">
        <f t="shared" si="0"/>
        <v>33.031423733739373</v>
      </c>
      <c r="J23" s="70">
        <f>I23-'[1]ADL %'!S22</f>
        <v>33.042357109495555</v>
      </c>
      <c r="K23" s="79"/>
      <c r="L23" s="77"/>
      <c r="M23" s="78">
        <v>1.0920000000000001</v>
      </c>
      <c r="Q23" s="74"/>
      <c r="R23" s="74"/>
    </row>
    <row r="24" spans="3:18" ht="15.6" x14ac:dyDescent="0.3">
      <c r="C24" s="20" t="s">
        <v>96</v>
      </c>
      <c r="D24" s="21" t="s">
        <v>97</v>
      </c>
      <c r="E24" s="75">
        <v>10</v>
      </c>
      <c r="F24">
        <v>0.59214999999999995</v>
      </c>
      <c r="G24">
        <v>0.49825000000000003</v>
      </c>
      <c r="H24" s="76">
        <v>0.74229000000000001</v>
      </c>
      <c r="I24" s="69">
        <f t="shared" si="0"/>
        <v>30.063868130887336</v>
      </c>
      <c r="J24" s="70">
        <f>I24-'[1]ADL %'!S23</f>
        <v>30.110008194817411</v>
      </c>
      <c r="K24" s="77"/>
      <c r="L24" s="77"/>
      <c r="M24" s="78" t="s">
        <v>140</v>
      </c>
      <c r="Q24" s="74"/>
      <c r="R24" s="74"/>
    </row>
    <row r="25" spans="3:18" ht="15.6" x14ac:dyDescent="0.3">
      <c r="C25" s="20" t="s">
        <v>98</v>
      </c>
      <c r="D25" s="21" t="s">
        <v>77</v>
      </c>
      <c r="E25" s="75">
        <v>11</v>
      </c>
      <c r="F25">
        <v>0.57706000000000002</v>
      </c>
      <c r="G25">
        <v>0.49656</v>
      </c>
      <c r="H25" s="76">
        <v>0.76627999999999996</v>
      </c>
      <c r="I25" s="69">
        <f t="shared" si="0"/>
        <v>38.038114230477511</v>
      </c>
      <c r="J25" s="70">
        <f>I25-'[1]ADL %'!S24</f>
        <v>38.320977862866286</v>
      </c>
      <c r="K25" s="77"/>
      <c r="L25" s="77"/>
      <c r="M25" s="78">
        <v>1.0522</v>
      </c>
      <c r="Q25" s="74"/>
      <c r="R25" s="74"/>
    </row>
    <row r="26" spans="3:18" ht="15.6" x14ac:dyDescent="0.3">
      <c r="C26" s="20" t="s">
        <v>100</v>
      </c>
      <c r="D26" s="21" t="s">
        <v>82</v>
      </c>
      <c r="E26" s="75">
        <v>12</v>
      </c>
      <c r="F26">
        <v>0.57818999999999998</v>
      </c>
      <c r="G26">
        <v>0.50271999999999994</v>
      </c>
      <c r="H26" s="76">
        <v>0.78693000000000002</v>
      </c>
      <c r="I26" s="69">
        <f t="shared" si="0"/>
        <v>41.454765728068722</v>
      </c>
      <c r="J26" s="70">
        <f>I26-'[1]ADL %'!S25</f>
        <v>41.656015825841536</v>
      </c>
      <c r="K26" s="77"/>
      <c r="L26" s="77"/>
      <c r="M26" s="78">
        <v>1.06352</v>
      </c>
      <c r="Q26" s="74"/>
      <c r="R26" s="74"/>
    </row>
    <row r="27" spans="3:18" ht="15.6" x14ac:dyDescent="0.3">
      <c r="C27" s="20" t="s">
        <v>101</v>
      </c>
      <c r="D27" s="21" t="s">
        <v>84</v>
      </c>
      <c r="E27" s="75">
        <v>13</v>
      </c>
      <c r="F27">
        <v>0.55864000000000003</v>
      </c>
      <c r="G27">
        <v>0.50641000000000003</v>
      </c>
      <c r="H27" s="76">
        <v>0.75278</v>
      </c>
      <c r="I27" s="69">
        <f t="shared" si="0"/>
        <v>38.271923384271659</v>
      </c>
      <c r="J27" s="70">
        <f>I27-'[1]ADL %'!S26</f>
        <v>38.441400856872967</v>
      </c>
      <c r="K27" s="77"/>
      <c r="L27" s="77"/>
      <c r="M27" s="78">
        <v>1.04227</v>
      </c>
      <c r="Q27" s="74"/>
      <c r="R27" s="74"/>
    </row>
    <row r="28" spans="3:18" ht="15.6" x14ac:dyDescent="0.3">
      <c r="C28" s="20" t="s">
        <v>102</v>
      </c>
      <c r="D28" s="21" t="s">
        <v>84</v>
      </c>
      <c r="E28" s="75">
        <v>14</v>
      </c>
      <c r="F28">
        <v>0.58164000000000005</v>
      </c>
      <c r="G28">
        <v>0.50173999999999996</v>
      </c>
      <c r="H28" s="76">
        <v>0.79398000000000002</v>
      </c>
      <c r="I28" s="69">
        <f t="shared" si="0"/>
        <v>42.252835705064861</v>
      </c>
      <c r="J28" s="70">
        <f>I28-'[1]ADL %'!S27</f>
        <v>42.476759242022204</v>
      </c>
      <c r="K28" s="77"/>
      <c r="L28" s="77"/>
      <c r="M28" s="78">
        <v>1.0645500000000001</v>
      </c>
      <c r="Q28" s="74"/>
      <c r="R28" s="74"/>
    </row>
    <row r="29" spans="3:18" ht="15.6" x14ac:dyDescent="0.3">
      <c r="C29" s="20" t="s">
        <v>103</v>
      </c>
      <c r="D29" s="21" t="s">
        <v>87</v>
      </c>
      <c r="E29" s="75">
        <v>15</v>
      </c>
      <c r="F29">
        <v>0.55920999999999998</v>
      </c>
      <c r="G29">
        <v>0.49292999999999998</v>
      </c>
      <c r="H29" s="76">
        <v>0.75543000000000005</v>
      </c>
      <c r="I29" s="69">
        <f t="shared" si="0"/>
        <v>39.740432395028904</v>
      </c>
      <c r="J29" s="70">
        <f>I29-'[1]ADL %'!S28</f>
        <v>39.937590382410733</v>
      </c>
      <c r="K29" s="79"/>
      <c r="L29" s="80"/>
      <c r="M29" s="81">
        <v>1.03817</v>
      </c>
      <c r="Q29" s="74"/>
      <c r="R29" s="74"/>
    </row>
    <row r="30" spans="3:18" ht="15.6" x14ac:dyDescent="0.3">
      <c r="C30" s="20" t="s">
        <v>104</v>
      </c>
      <c r="D30" s="21" t="s">
        <v>89</v>
      </c>
      <c r="E30" s="75">
        <v>16</v>
      </c>
      <c r="F30">
        <v>0.56752999999999998</v>
      </c>
      <c r="G30">
        <v>0.50383</v>
      </c>
      <c r="H30" s="76">
        <v>0.76926000000000005</v>
      </c>
      <c r="I30" s="69">
        <f t="shared" si="0"/>
        <v>39.973332476458168</v>
      </c>
      <c r="J30" s="70">
        <f>I30-'[1]ADL %'!S29</f>
        <v>40.083369236748688</v>
      </c>
      <c r="K30" s="77"/>
      <c r="L30" s="77"/>
      <c r="M30" s="78">
        <v>1.0510299999999999</v>
      </c>
      <c r="Q30" s="74"/>
      <c r="R30" s="74"/>
    </row>
    <row r="31" spans="3:18" ht="15.6" x14ac:dyDescent="0.3">
      <c r="C31" s="20" t="s">
        <v>105</v>
      </c>
      <c r="D31" s="21" t="s">
        <v>91</v>
      </c>
      <c r="E31" s="75">
        <v>17</v>
      </c>
      <c r="F31">
        <v>0.57291000000000003</v>
      </c>
      <c r="G31">
        <v>0.50266999999999995</v>
      </c>
      <c r="H31" s="76">
        <v>0.75685999999999998</v>
      </c>
      <c r="I31" s="69">
        <f t="shared" si="0"/>
        <v>36.527839409744189</v>
      </c>
      <c r="J31" s="70">
        <f>I31-'[1]ADL %'!S30</f>
        <v>36.688656076696958</v>
      </c>
      <c r="K31" s="77"/>
      <c r="L31" s="77"/>
      <c r="M31" s="78">
        <v>1.05966</v>
      </c>
      <c r="Q31" s="74"/>
      <c r="R31" s="74"/>
    </row>
    <row r="32" spans="3:18" ht="15.6" x14ac:dyDescent="0.3">
      <c r="C32" s="20" t="s">
        <v>106</v>
      </c>
      <c r="D32" s="21" t="s">
        <v>93</v>
      </c>
      <c r="E32" s="75">
        <v>18</v>
      </c>
      <c r="F32">
        <v>0.57230999999999999</v>
      </c>
      <c r="G32">
        <v>0.49748999999999999</v>
      </c>
      <c r="H32" s="76">
        <v>0.77246000000000004</v>
      </c>
      <c r="I32" s="69">
        <f t="shared" si="0"/>
        <v>40.164594611981073</v>
      </c>
      <c r="J32" s="70">
        <f>I32-'[1]ADL %'!S31</f>
        <v>40.235869947762616</v>
      </c>
      <c r="K32" s="77"/>
      <c r="L32" s="77"/>
      <c r="M32" s="78">
        <v>1.05799</v>
      </c>
      <c r="Q32" s="74"/>
      <c r="R32" s="74"/>
    </row>
    <row r="33" spans="3:18" ht="15.6" x14ac:dyDescent="0.3">
      <c r="C33" s="20" t="s">
        <v>107</v>
      </c>
      <c r="D33" s="21" t="s">
        <v>95</v>
      </c>
      <c r="E33" s="75">
        <v>19</v>
      </c>
      <c r="F33">
        <v>0.58867000000000003</v>
      </c>
      <c r="G33">
        <v>0.49595</v>
      </c>
      <c r="H33" s="76">
        <v>0.73104999999999998</v>
      </c>
      <c r="I33" s="69">
        <f t="shared" si="0"/>
        <v>28.639028315840289</v>
      </c>
      <c r="J33" s="70">
        <f>I33-'[1]ADL %'!S32</f>
        <v>28.973318855642386</v>
      </c>
      <c r="K33" s="77"/>
      <c r="L33" s="77"/>
      <c r="M33" s="78">
        <v>1.06094</v>
      </c>
      <c r="Q33" s="74"/>
      <c r="R33" s="74"/>
    </row>
    <row r="34" spans="3:18" ht="15.6" x14ac:dyDescent="0.3">
      <c r="C34" s="20" t="s">
        <v>108</v>
      </c>
      <c r="D34" s="21" t="s">
        <v>97</v>
      </c>
      <c r="E34" s="75">
        <v>20</v>
      </c>
      <c r="F34">
        <v>0.56406000000000001</v>
      </c>
      <c r="G34">
        <v>0.50504000000000004</v>
      </c>
      <c r="H34" s="76">
        <v>0.74800999999999995</v>
      </c>
      <c r="I34" s="69">
        <f t="shared" si="0"/>
        <v>36.357451514764492</v>
      </c>
      <c r="J34" s="70">
        <f>I34-'[1]ADL %'!S33</f>
        <v>36.508426176345409</v>
      </c>
      <c r="K34" s="77"/>
      <c r="L34" s="77"/>
      <c r="M34" s="78">
        <v>1.05755</v>
      </c>
      <c r="Q34" s="74"/>
      <c r="R34" s="74"/>
    </row>
    <row r="35" spans="3:18" ht="15.6" x14ac:dyDescent="0.3">
      <c r="C35"/>
      <c r="D35" s="82" t="s">
        <v>141</v>
      </c>
      <c r="E35" s="75">
        <v>21</v>
      </c>
      <c r="F35">
        <v>0.55896000000000001</v>
      </c>
      <c r="G35">
        <v>0.50899000000000005</v>
      </c>
      <c r="H35" s="76">
        <v>0.77585999999999999</v>
      </c>
      <c r="I35" s="69">
        <f t="shared" si="0"/>
        <v>42.549492094289782</v>
      </c>
      <c r="J35" s="70">
        <f>I35-'[1]ADL %'!S34</f>
        <v>40.547541549215197</v>
      </c>
      <c r="K35" s="77"/>
      <c r="L35" s="77"/>
      <c r="M35" s="78">
        <v>1.0368900000000001</v>
      </c>
      <c r="Q35" s="74"/>
      <c r="R35" s="74"/>
    </row>
    <row r="36" spans="3:18" ht="15.6" x14ac:dyDescent="0.3">
      <c r="C36" s="83" t="s">
        <v>142</v>
      </c>
      <c r="D36" s="75"/>
      <c r="E36" s="75">
        <v>22</v>
      </c>
      <c r="F36" s="76"/>
      <c r="G36" s="76"/>
      <c r="H36" s="76"/>
      <c r="I36" s="69" t="e">
        <f t="shared" si="0"/>
        <v>#DIV/0!</v>
      </c>
      <c r="J36" s="70" t="e">
        <f>I36-'[1]ADL %'!S35</f>
        <v>#DIV/0!</v>
      </c>
      <c r="K36" s="79"/>
      <c r="L36" s="80"/>
      <c r="M36" s="81"/>
      <c r="Q36" s="74"/>
      <c r="R36" s="74"/>
    </row>
    <row r="37" spans="3:18" x14ac:dyDescent="0.3">
      <c r="I37"/>
      <c r="J37"/>
    </row>
    <row r="38" spans="3:18" ht="15.6" x14ac:dyDescent="0.3">
      <c r="D38" s="84"/>
      <c r="E38" s="84"/>
      <c r="F38" s="85" t="s">
        <v>143</v>
      </c>
      <c r="G38" s="86"/>
      <c r="H38" s="87" t="s">
        <v>144</v>
      </c>
      <c r="I38" s="88" t="s">
        <v>145</v>
      </c>
      <c r="J38"/>
    </row>
    <row r="39" spans="3:18" ht="15.6" x14ac:dyDescent="0.3">
      <c r="C39" s="89"/>
      <c r="D39" s="90" t="s">
        <v>146</v>
      </c>
      <c r="E39" s="67">
        <v>23</v>
      </c>
      <c r="F39">
        <v>0.57884999999999998</v>
      </c>
      <c r="G39" s="91"/>
      <c r="H39" s="71">
        <v>0.57925000000000004</v>
      </c>
      <c r="I39" s="92">
        <f>H39/F39</f>
        <v>1.0006910253088019</v>
      </c>
      <c r="J39"/>
      <c r="M39" s="33">
        <v>0.57821</v>
      </c>
    </row>
    <row r="40" spans="3:18" ht="15.6" x14ac:dyDescent="0.3">
      <c r="C40" s="89"/>
      <c r="D40" s="90" t="s">
        <v>146</v>
      </c>
      <c r="E40" s="75">
        <v>24</v>
      </c>
      <c r="F40">
        <v>0.56223999999999996</v>
      </c>
      <c r="G40" s="91"/>
      <c r="H40" s="79">
        <v>0.56250999999999995</v>
      </c>
      <c r="I40" s="92">
        <f>H40/F40</f>
        <v>1.0004802219692657</v>
      </c>
      <c r="J40"/>
      <c r="M40" s="33">
        <v>0.56169000000000002</v>
      </c>
    </row>
    <row r="41" spans="3:18" ht="15.6" x14ac:dyDescent="0.3">
      <c r="D41" s="78"/>
      <c r="E41" s="78"/>
      <c r="F41" s="78"/>
      <c r="G41" s="78"/>
      <c r="H41" s="78"/>
      <c r="I41" s="93">
        <f>AVERAGE(I39:I40)</f>
        <v>1.0005856236390338</v>
      </c>
      <c r="J41"/>
    </row>
    <row r="42" spans="3:18" ht="15" thickBot="1" x14ac:dyDescent="0.35"/>
    <row r="43" spans="3:18" ht="15" thickBot="1" x14ac:dyDescent="0.35">
      <c r="C43" s="33" t="s">
        <v>147</v>
      </c>
      <c r="H43" s="94" t="s">
        <v>148</v>
      </c>
      <c r="I43" s="95"/>
      <c r="J43" s="95"/>
      <c r="K43" s="95"/>
      <c r="L43" s="95"/>
      <c r="M43" s="95"/>
      <c r="N43" s="95"/>
      <c r="O43" s="96"/>
    </row>
    <row r="45" spans="3:18" x14ac:dyDescent="0.3">
      <c r="C45" s="78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2add</vt:lpstr>
      <vt:lpstr>raw</vt:lpstr>
      <vt:lpstr>Ark1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Rui Wang</cp:lastModifiedBy>
  <dcterms:created xsi:type="dcterms:W3CDTF">2015-06-05T18:19:34Z</dcterms:created>
  <dcterms:modified xsi:type="dcterms:W3CDTF">2026-01-28T14:12:18Z</dcterms:modified>
</cp:coreProperties>
</file>